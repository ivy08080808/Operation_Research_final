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iagnostic Report" sheetId="1" state="visible" r:id="rId1"/>
    <sheet xmlns:r="http://schemas.openxmlformats.org/officeDocument/2006/relationships" name="Parameter Checks" sheetId="2" state="visible" r:id="rId2"/>
    <sheet xmlns:r="http://schemas.openxmlformats.org/officeDocument/2006/relationships" name="Overview" sheetId="3" state="visible" r:id="rId3"/>
    <sheet xmlns:r="http://schemas.openxmlformats.org/officeDocument/2006/relationships" name="Instance 1 (Base)" sheetId="4" state="visible" r:id="rId4"/>
    <sheet xmlns:r="http://schemas.openxmlformats.org/officeDocument/2006/relationships" name="Instance 2 (No Discount)" sheetId="5" state="visible" r:id="rId5"/>
    <sheet xmlns:r="http://schemas.openxmlformats.org/officeDocument/2006/relationships" name="Instance 3 (Carryover)" sheetId="6" state="visible" r:id="rId6"/>
    <sheet xmlns:r="http://schemas.openxmlformats.org/officeDocument/2006/relationships" name="Instance 4 (Sensitivity)" sheetId="7" state="visible" r:id="rId7"/>
    <sheet xmlns:r="http://schemas.openxmlformats.org/officeDocument/2006/relationships" name="Instance 5 (Large)" sheetId="8" state="visible" r:id="rId8"/>
    <sheet xmlns:r="http://schemas.openxmlformats.org/officeDocument/2006/relationships" name="Formula Generator" sheetId="9" state="visible" r:id="rId9"/>
    <sheet xmlns:r="http://schemas.openxmlformats.org/officeDocument/2006/relationships" name="Gurobi Inpu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0.0"/>
  </numFmts>
  <fonts count="29">
    <font>
      <name val="Arial"/>
      <color rgb="FF000000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color rgb="FF000000"/>
      <sz val="10"/>
    </font>
    <font>
      <name val="Arial"/>
      <i val="1"/>
      <color rgb="FF595959"/>
      <sz val="9"/>
    </font>
    <font>
      <name val="Arial"/>
      <b val="1"/>
      <color rgb="FFFFFFFF"/>
      <sz val="12"/>
    </font>
    <font>
      <name val="Arial"/>
      <color rgb="FF595959"/>
      <sz val="10"/>
    </font>
    <font>
      <name val="Arial"/>
      <b val="1"/>
      <color rgb="FF1F4E79"/>
      <sz val="10"/>
    </font>
    <font>
      <name val="Arial"/>
      <b val="1"/>
      <color rgb="FF375623"/>
      <sz val="10"/>
    </font>
    <font>
      <name val="Arial"/>
      <b val="1"/>
      <color rgb="FF7F6000"/>
      <sz val="10"/>
    </font>
    <font>
      <name val="Arial"/>
      <i val="1"/>
      <color rgb="FF404040"/>
      <sz val="9"/>
    </font>
    <font>
      <name val="Arial"/>
      <sz val="10"/>
    </font>
    <font>
      <name val="Arial"/>
      <b val="1"/>
      <color rgb="FFFFFFFF"/>
      <sz val="14"/>
    </font>
    <font>
      <name val="Arial"/>
      <sz val="11"/>
    </font>
    <font>
      <name val="Arial"/>
      <b val="1"/>
      <sz val="11"/>
    </font>
    <font>
      <name val="Arial"/>
      <b val="1"/>
      <color rgb="00FFFFFF"/>
      <sz val="12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9C0006"/>
      <sz val="10"/>
    </font>
    <font>
      <name val="Arial"/>
      <color rgb="001F4E79"/>
      <sz val="10"/>
    </font>
    <font>
      <name val="Arial"/>
      <color rgb="007F6000"/>
      <sz val="10"/>
    </font>
    <font>
      <name val="Arial"/>
      <color rgb="00375623"/>
      <sz val="10"/>
    </font>
    <font>
      <name val="Arial"/>
      <i val="1"/>
      <color rgb="00404040"/>
      <sz val="9"/>
    </font>
    <font>
      <name val="Arial"/>
      <color rgb="00888888"/>
      <sz val="10"/>
    </font>
    <font>
      <name val="Arial"/>
      <b val="1"/>
      <color rgb="00000000"/>
      <sz val="10"/>
    </font>
    <font>
      <name val="Arial"/>
      <b val="1"/>
      <color rgb="001F4E79"/>
      <sz val="10"/>
    </font>
    <font>
      <name val="Arial"/>
      <i val="1"/>
      <color rgb="001F4E79"/>
      <sz val="9"/>
    </font>
    <font>
      <name val="Arial"/>
      <b val="1"/>
      <color rgb="001F4E79"/>
      <sz val="9"/>
    </font>
  </fonts>
  <fills count="16">
    <fill>
      <patternFill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DEEAF1"/>
        <bgColor rgb="FFDEEAF1"/>
      </patternFill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E7E6E6"/>
        <bgColor rgb="FFE7E6E6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C7CE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DEEAF1"/>
      </patternFill>
    </fill>
    <fill>
      <patternFill patternType="solid">
        <fgColor rgb="00FFEB9C"/>
      </patternFill>
    </fill>
    <fill>
      <patternFill patternType="solid">
        <fgColor rgb="00BDD7EE"/>
      </patternFill>
    </fill>
  </fills>
  <borders count="1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17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0" borderId="5" applyAlignment="1" pivotButton="0" quotePrefix="0" xfId="0">
      <alignment horizontal="left" vertical="center"/>
    </xf>
    <xf numFmtId="0" fontId="3" fillId="4" borderId="4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3" fillId="4" borderId="5" applyAlignment="1" pivotButton="0" quotePrefix="0" xfId="0">
      <alignment horizontal="left" vertical="center"/>
    </xf>
    <xf numFmtId="0" fontId="3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left" vertical="center"/>
    </xf>
    <xf numFmtId="0" fontId="3" fillId="0" borderId="8" applyAlignment="1" pivotButton="0" quotePrefix="0" xfId="0">
      <alignment horizontal="left" vertical="center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4" borderId="4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0" fontId="3" fillId="4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left" vertical="center"/>
    </xf>
    <xf numFmtId="0" fontId="3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2" fontId="3" fillId="0" borderId="5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2" fontId="3" fillId="4" borderId="0" applyAlignment="1" pivotButton="0" quotePrefix="0" xfId="0">
      <alignment horizontal="center" vertical="center"/>
    </xf>
    <xf numFmtId="2" fontId="3" fillId="4" borderId="5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3" fillId="4" borderId="6" applyAlignment="1" pivotButton="0" quotePrefix="0" xfId="0">
      <alignment horizontal="left" vertical="center"/>
    </xf>
    <xf numFmtId="2" fontId="3" fillId="4" borderId="7" applyAlignment="1" pivotButton="0" quotePrefix="0" xfId="0">
      <alignment horizontal="center" vertical="center"/>
    </xf>
    <xf numFmtId="0" fontId="3" fillId="4" borderId="7" applyAlignment="1" pivotButton="0" quotePrefix="0" xfId="0">
      <alignment horizontal="center" vertical="center"/>
    </xf>
    <xf numFmtId="2" fontId="3" fillId="4" borderId="8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top" wrapText="1"/>
    </xf>
    <xf numFmtId="0" fontId="11" fillId="0" borderId="4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/>
    </xf>
    <xf numFmtId="0" fontId="11" fillId="4" borderId="4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11" fillId="4" borderId="5" applyAlignment="1" pivotButton="0" quotePrefix="0" xfId="0">
      <alignment horizontal="left" vertical="center"/>
    </xf>
    <xf numFmtId="0" fontId="11" fillId="0" borderId="6" applyAlignment="1" pivotButton="0" quotePrefix="0" xfId="0">
      <alignment horizontal="center" vertical="center"/>
    </xf>
    <xf numFmtId="0" fontId="11" fillId="0" borderId="7" applyAlignment="1" pivotButton="0" quotePrefix="0" xfId="0">
      <alignment horizontal="center" vertical="center"/>
    </xf>
    <xf numFmtId="0" fontId="11" fillId="0" borderId="7" applyAlignment="1" pivotButton="0" quotePrefix="0" xfId="0">
      <alignment horizontal="left" vertical="center"/>
    </xf>
    <xf numFmtId="0" fontId="11" fillId="0" borderId="8" applyAlignment="1" pivotButton="0" quotePrefix="0" xfId="0">
      <alignment horizontal="left" vertical="center"/>
    </xf>
    <xf numFmtId="0" fontId="3" fillId="4" borderId="8" applyAlignment="1" pivotButton="0" quotePrefix="0" xfId="0">
      <alignment horizontal="center" vertical="center"/>
    </xf>
    <xf numFmtId="0" fontId="12" fillId="5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bottom" wrapText="1"/>
    </xf>
    <xf numFmtId="0" fontId="14" fillId="6" borderId="0" applyAlignment="1" pivotButton="0" quotePrefix="0" xfId="0">
      <alignment horizontal="center" vertical="center" wrapText="1"/>
    </xf>
    <xf numFmtId="0" fontId="14" fillId="7" borderId="0" applyAlignment="1" pivotButton="0" quotePrefix="0" xfId="0">
      <alignment horizontal="center" vertical="center" wrapText="1"/>
    </xf>
    <xf numFmtId="1" fontId="13" fillId="0" borderId="0" applyAlignment="1" pivotButton="0" quotePrefix="0" xfId="0">
      <alignment vertical="bottom" wrapText="1"/>
    </xf>
    <xf numFmtId="2" fontId="13" fillId="0" borderId="0" applyAlignment="1" pivotButton="0" quotePrefix="0" xfId="0">
      <alignment vertical="bottom" wrapText="1"/>
    </xf>
    <xf numFmtId="164" fontId="13" fillId="0" borderId="0" applyAlignment="1" pivotButton="0" quotePrefix="0" xfId="0">
      <alignment vertical="bottom" wrapText="1"/>
    </xf>
    <xf numFmtId="0" fontId="14" fillId="7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bottom" wrapText="1"/>
    </xf>
    <xf numFmtId="2" fontId="13" fillId="0" borderId="0" applyAlignment="1" pivotButton="0" quotePrefix="0" xfId="0">
      <alignment vertical="bottom" wrapText="1"/>
    </xf>
    <xf numFmtId="164" fontId="13" fillId="0" borderId="0" applyAlignment="1" pivotButton="0" quotePrefix="0" xfId="0">
      <alignment vertical="bottom" wrapText="1"/>
    </xf>
    <xf numFmtId="0" fontId="0" fillId="0" borderId="0" pivotButton="0" quotePrefix="0" xfId="0"/>
    <xf numFmtId="0" fontId="15" fillId="8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left" vertical="center"/>
    </xf>
    <xf numFmtId="0" fontId="17" fillId="9" borderId="9" applyAlignment="1" pivotButton="0" quotePrefix="0" xfId="0">
      <alignment horizontal="center" vertical="center"/>
    </xf>
    <xf numFmtId="0" fontId="17" fillId="9" borderId="10" applyAlignment="1" pivotButton="0" quotePrefix="0" xfId="0">
      <alignment horizontal="center" vertical="center"/>
    </xf>
    <xf numFmtId="0" fontId="17" fillId="9" borderId="11" applyAlignment="1" pivotButton="0" quotePrefix="0" xfId="0">
      <alignment horizontal="center" vertical="center"/>
    </xf>
    <xf numFmtId="0" fontId="18" fillId="0" borderId="12" applyAlignment="1" pivotButton="0" quotePrefix="0" xfId="0">
      <alignment horizontal="left" vertical="center"/>
    </xf>
    <xf numFmtId="0" fontId="18" fillId="0" borderId="13" applyAlignment="1" pivotButton="0" quotePrefix="0" xfId="0">
      <alignment horizontal="left" vertical="center"/>
    </xf>
    <xf numFmtId="0" fontId="19" fillId="10" borderId="13" applyAlignment="1" pivotButton="0" quotePrefix="0" xfId="0">
      <alignment horizontal="center" vertical="center"/>
    </xf>
    <xf numFmtId="0" fontId="20" fillId="11" borderId="13" applyAlignment="1" pivotButton="0" quotePrefix="0" xfId="0">
      <alignment horizontal="center" vertical="center"/>
    </xf>
    <xf numFmtId="0" fontId="21" fillId="0" borderId="13" applyAlignment="1" pivotButton="0" quotePrefix="0" xfId="0">
      <alignment horizontal="center" vertical="center"/>
    </xf>
    <xf numFmtId="0" fontId="22" fillId="12" borderId="13" applyAlignment="1" pivotButton="0" quotePrefix="0" xfId="0">
      <alignment horizontal="center" vertical="center"/>
    </xf>
    <xf numFmtId="0" fontId="23" fillId="0" borderId="14" applyAlignment="1" pivotButton="0" quotePrefix="0" xfId="0">
      <alignment horizontal="left" vertical="top" wrapText="1"/>
    </xf>
    <xf numFmtId="0" fontId="18" fillId="13" borderId="12" applyAlignment="1" pivotButton="0" quotePrefix="0" xfId="0">
      <alignment horizontal="left" vertical="center"/>
    </xf>
    <xf numFmtId="0" fontId="18" fillId="13" borderId="13" applyAlignment="1" pivotButton="0" quotePrefix="0" xfId="0">
      <alignment horizontal="left" vertical="center"/>
    </xf>
    <xf numFmtId="0" fontId="21" fillId="13" borderId="13" applyAlignment="1" pivotButton="0" quotePrefix="0" xfId="0">
      <alignment horizontal="center" vertical="center"/>
    </xf>
    <xf numFmtId="0" fontId="23" fillId="13" borderId="14" applyAlignment="1" pivotButton="0" quotePrefix="0" xfId="0">
      <alignment horizontal="left" vertical="top" wrapText="1"/>
    </xf>
    <xf numFmtId="0" fontId="24" fillId="11" borderId="13" applyAlignment="1" pivotButton="0" quotePrefix="0" xfId="0">
      <alignment horizontal="center" vertical="center"/>
    </xf>
    <xf numFmtId="0" fontId="22" fillId="0" borderId="13" applyAlignment="1" pivotButton="0" quotePrefix="0" xfId="0">
      <alignment horizontal="center" vertical="center"/>
    </xf>
    <xf numFmtId="0" fontId="18" fillId="13" borderId="15" applyAlignment="1" pivotButton="0" quotePrefix="0" xfId="0">
      <alignment horizontal="left" vertical="center"/>
    </xf>
    <xf numFmtId="0" fontId="18" fillId="13" borderId="16" applyAlignment="1" pivotButton="0" quotePrefix="0" xfId="0">
      <alignment horizontal="left" vertical="center"/>
    </xf>
    <xf numFmtId="0" fontId="24" fillId="13" borderId="16" applyAlignment="1" pivotButton="0" quotePrefix="0" xfId="0">
      <alignment horizontal="center" vertical="center"/>
    </xf>
    <xf numFmtId="0" fontId="22" fillId="13" borderId="16" applyAlignment="1" pivotButton="0" quotePrefix="0" xfId="0">
      <alignment horizontal="center" vertical="center"/>
    </xf>
    <xf numFmtId="0" fontId="21" fillId="14" borderId="16" applyAlignment="1" pivotButton="0" quotePrefix="0" xfId="0">
      <alignment horizontal="center" vertical="center"/>
    </xf>
    <xf numFmtId="0" fontId="23" fillId="13" borderId="17" applyAlignment="1" pivotButton="0" quotePrefix="0" xfId="0">
      <alignment horizontal="left" vertical="top" wrapText="1"/>
    </xf>
    <xf numFmtId="0" fontId="17" fillId="9" borderId="9" applyAlignment="1" pivotButton="0" quotePrefix="0" xfId="0">
      <alignment horizontal="center" vertical="center" wrapText="1"/>
    </xf>
    <xf numFmtId="0" fontId="17" fillId="9" borderId="10" applyAlignment="1" pivotButton="0" quotePrefix="0" xfId="0">
      <alignment horizontal="center" vertical="center" wrapText="1"/>
    </xf>
    <xf numFmtId="0" fontId="17" fillId="9" borderId="11" applyAlignment="1" pivotButton="0" quotePrefix="0" xfId="0">
      <alignment horizontal="center" vertical="center" wrapText="1"/>
    </xf>
    <xf numFmtId="0" fontId="25" fillId="0" borderId="12" applyAlignment="1" pivotButton="0" quotePrefix="0" xfId="0">
      <alignment horizontal="left" vertical="center"/>
    </xf>
    <xf numFmtId="0" fontId="18" fillId="0" borderId="13" applyAlignment="1" pivotButton="0" quotePrefix="0" xfId="0">
      <alignment horizontal="center" vertical="center"/>
    </xf>
    <xf numFmtId="165" fontId="18" fillId="0" borderId="13" applyAlignment="1" pivotButton="0" quotePrefix="0" xfId="0">
      <alignment horizontal="center" vertical="center"/>
    </xf>
    <xf numFmtId="0" fontId="19" fillId="10" borderId="14" applyAlignment="1" pivotButton="0" quotePrefix="0" xfId="0">
      <alignment horizontal="center" vertical="center"/>
    </xf>
    <xf numFmtId="0" fontId="18" fillId="13" borderId="13" applyAlignment="1" pivotButton="0" quotePrefix="0" xfId="0">
      <alignment horizontal="center" vertical="center"/>
    </xf>
    <xf numFmtId="0" fontId="22" fillId="13" borderId="13" applyAlignment="1" pivotButton="0" quotePrefix="0" xfId="0">
      <alignment horizontal="center" vertical="center"/>
    </xf>
    <xf numFmtId="165" fontId="18" fillId="13" borderId="13" applyAlignment="1" pivotButton="0" quotePrefix="0" xfId="0">
      <alignment horizontal="center" vertical="center"/>
    </xf>
    <xf numFmtId="0" fontId="20" fillId="15" borderId="13" applyAlignment="1" pivotButton="0" quotePrefix="0" xfId="0">
      <alignment horizontal="center" vertical="center"/>
    </xf>
    <xf numFmtId="0" fontId="22" fillId="12" borderId="14" applyAlignment="1" pivotButton="0" quotePrefix="0" xfId="0">
      <alignment horizontal="center" vertical="center"/>
    </xf>
    <xf numFmtId="0" fontId="21" fillId="14" borderId="14" applyAlignment="1" pivotButton="0" quotePrefix="0" xfId="0">
      <alignment horizontal="center" vertical="center"/>
    </xf>
    <xf numFmtId="0" fontId="18" fillId="13" borderId="16" applyAlignment="1" pivotButton="0" quotePrefix="0" xfId="0">
      <alignment horizontal="center" vertical="center"/>
    </xf>
    <xf numFmtId="165" fontId="18" fillId="13" borderId="16" applyAlignment="1" pivotButton="0" quotePrefix="0" xfId="0">
      <alignment horizontal="center" vertical="center"/>
    </xf>
    <xf numFmtId="0" fontId="22" fillId="12" borderId="16" applyAlignment="1" pivotButton="0" quotePrefix="0" xfId="0">
      <alignment horizontal="center" vertical="center"/>
    </xf>
    <xf numFmtId="0" fontId="19" fillId="10" borderId="16" applyAlignment="1" pivotButton="0" quotePrefix="0" xfId="0">
      <alignment horizontal="center" vertical="center"/>
    </xf>
    <xf numFmtId="0" fontId="19" fillId="10" borderId="17" applyAlignment="1" pivotButton="0" quotePrefix="0" xfId="0">
      <alignment horizontal="center" vertical="center"/>
    </xf>
    <xf numFmtId="0" fontId="28" fillId="11" borderId="0" applyAlignment="1" pivotButton="0" quotePrefix="0" xfId="0">
      <alignment horizontal="left" vertical="center"/>
    </xf>
    <xf numFmtId="2" fontId="26" fillId="11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top" wrapText="1"/>
    </xf>
    <xf numFmtId="0" fontId="26" fillId="11" borderId="0" applyAlignment="1" pivotButton="0" quotePrefix="0" xfId="0">
      <alignment horizontal="center" vertical="center"/>
    </xf>
    <xf numFmtId="2" fontId="26" fillId="11" borderId="7" applyAlignment="1" pivotButton="0" quotePrefix="0" xfId="0">
      <alignment horizontal="center" vertical="center"/>
    </xf>
    <xf numFmtId="0" fontId="26" fillId="11" borderId="7" applyAlignment="1" pivotButton="0" quotePrefix="0" xfId="0">
      <alignment horizontal="center" vertical="center"/>
    </xf>
    <xf numFmtId="0" fontId="17" fillId="9" borderId="0" applyAlignment="1" pivotButton="0" quotePrefix="0" xfId="0">
      <alignment horizontal="center" vertical="center"/>
    </xf>
    <xf numFmtId="166" fontId="18" fillId="0" borderId="0" applyAlignment="1" pivotButton="0" quotePrefix="0" xfId="0">
      <alignment horizontal="center" vertical="center"/>
    </xf>
    <xf numFmtId="0" fontId="19" fillId="10" borderId="0" applyAlignment="1" pivotButton="0" quotePrefix="0" xfId="0">
      <alignment horizontal="center" vertical="center"/>
    </xf>
    <xf numFmtId="0" fontId="22" fillId="12" borderId="0" applyAlignment="1" pivotButton="0" quotePrefix="0" xfId="0">
      <alignment horizontal="center" vertical="center"/>
    </xf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/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/>
      </fill>
      <border/>
    </dxf>
  </dxfs>
  <tableStyles count="5" defaultTableStyle="TableStyleMedium9" defaultPivotStyle="PivotStyleLight16">
    <tableStyle name="Gurobi Input-style" pivot="0" count="3">
      <tableStyleElement type="headerRow" dxfId="1"/>
      <tableStyleElement type="firstRowStripe" dxfId="2"/>
      <tableStyleElement type="secondRowStripe" dxfId="3"/>
    </tableStyle>
    <tableStyle name="Gurobi Input-style 2" pivot="0" count="3">
      <tableStyleElement type="headerRow" dxfId="1"/>
      <tableStyleElement type="firstRowStripe" dxfId="2"/>
      <tableStyleElement type="secondRowStripe" dxfId="3"/>
    </tableStyle>
    <tableStyle name="Gurobi Input-style 3" pivot="0" count="3">
      <tableStyleElement type="headerRow" dxfId="1"/>
      <tableStyleElement type="firstRowStripe" dxfId="2"/>
      <tableStyleElement type="secondRowStripe" dxfId="3"/>
    </tableStyle>
    <tableStyle name="Gurobi Input-style 4" pivot="0" count="3">
      <tableStyleElement type="headerRow" dxfId="1"/>
      <tableStyleElement type="firstRowStripe" dxfId="2"/>
      <tableStyleElement type="secondRowStripe" dxfId="3"/>
    </tableStyle>
    <tableStyle name="Gurobi Input-style 5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able_1" displayName="Table_1" ref="A5:C29" headerRowCount="1">
  <tableColumns count="3">
    <tableColumn id="1" name="week"/>
    <tableColumn id="2" name="dish"/>
    <tableColumn id="3" name="demand"/>
  </tableColumns>
  <tableStyleInfo name="Gurobi Input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E5:G41" headerRowCount="1">
  <tableColumns count="3">
    <tableColumn id="1" name="dish"/>
    <tableColumn id="2" name="ingredient"/>
    <tableColumn id="3" name="amount"/>
  </tableColumns>
  <tableStyleInfo name="Gurobi Input-style 2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I5:O11" headerRowCount="1">
  <tableColumns count="7">
    <tableColumn id="1" name="ingredient"/>
    <tableColumn id="2" name="regular_cost"/>
    <tableColumn id="3" name="discount_cost"/>
    <tableColumn id="4" name="min_qty"/>
    <tableColumn id="5" name="shelf_life"/>
    <tableColumn id="6" name="holding_cost"/>
    <tableColumn id="7" name="waste_cost"/>
  </tableColumns>
  <tableStyleInfo name="Gurobi Input-style 3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I15:K39" headerRowCount="1">
  <tableColumns count="3">
    <tableColumn id="1" name="week"/>
    <tableColumn id="2" name="ingredient"/>
    <tableColumn id="3" name="demand"/>
  </tableColumns>
  <tableStyleInfo name="Gurobi Input-style 4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M15:R21" headerRowCount="1">
  <tableColumns count="6">
    <tableColumn id="1" name="ingredient"/>
    <tableColumn id="2" name="total_demand"/>
    <tableColumn id="3" name="max_weekly_demand"/>
    <tableColumn id="4" name="recommended_M"/>
    <tableColumn id="5" name="discount_saving_pct"/>
    <tableColumn id="6" name="threshold_reachable"/>
  </tableColumns>
  <tableStyleInfo name="Gurobi Input-style 5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</a:theme>
</file>

<file path=xl/worksheets/_rels/sheet10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0" customWidth="1" style="64" min="1" max="1"/>
    <col width="16" customWidth="1" style="64" min="2" max="2"/>
    <col width="14" customWidth="1" style="64" min="3" max="3"/>
    <col width="14" customWidth="1" style="64" min="4" max="4"/>
    <col width="16" customWidth="1" style="64" min="5" max="5"/>
    <col width="18" customWidth="1" style="64" min="6" max="6"/>
    <col width="16" customWidth="1" style="64" min="7" max="7"/>
    <col width="32" customWidth="1" style="64" min="8" max="8"/>
  </cols>
  <sheetData>
    <row r="1" ht="26" customHeight="1" s="64">
      <c r="A1" s="65" t="inlineStr">
        <is>
          <t>Parameter Diagnostic Report — What Was Fixed and Why</t>
        </is>
      </c>
    </row>
    <row r="2">
      <c r="A2" s="66" t="inlineStr">
        <is>
          <t>Checks: (1) m_i vs M_i reachability  (2) breakeven weeks vs shelf life  (3) discount saving direction  (4) M_i set correctly per proposal formula</t>
        </is>
      </c>
    </row>
    <row r="4">
      <c r="A4" s="67" t="inlineStr">
        <is>
          <t>Instance</t>
        </is>
      </c>
      <c r="B4" s="68" t="inlineStr">
        <is>
          <t>Ingredient</t>
        </is>
      </c>
      <c r="C4" s="68" t="inlineStr">
        <is>
          <t>Check</t>
        </is>
      </c>
      <c r="D4" s="68" t="inlineStr">
        <is>
          <t>Old value</t>
        </is>
      </c>
      <c r="E4" s="68" t="inlineStr">
        <is>
          <t>New value</t>
        </is>
      </c>
      <c r="F4" s="68" t="inlineStr">
        <is>
          <t>Status before</t>
        </is>
      </c>
      <c r="G4" s="68" t="inlineStr">
        <is>
          <t>Status after</t>
        </is>
      </c>
      <c r="H4" s="69" t="inlineStr">
        <is>
          <t>Explanation</t>
        </is>
      </c>
    </row>
    <row r="5" ht="40" customHeight="1" s="64">
      <c r="A5" s="70" t="inlineStr">
        <is>
          <t>Instance 1</t>
        </is>
      </c>
      <c r="B5" s="71" t="inlineStr">
        <is>
          <t>Tomato</t>
        </is>
      </c>
      <c r="C5" s="71" t="inlineStr">
        <is>
          <t>m_i vs M_i</t>
        </is>
      </c>
      <c r="D5" s="72" t="inlineStr">
        <is>
          <t>m=200</t>
        </is>
      </c>
      <c r="E5" s="73" t="inlineStr">
        <is>
          <t>m=90</t>
        </is>
      </c>
      <c r="F5" s="74" t="inlineStr">
        <is>
          <t>⚠ m&gt;M_i (200&gt;100)</t>
        </is>
      </c>
      <c r="G5" s="75" t="inlineStr">
        <is>
          <t>✓ Fixed</t>
        </is>
      </c>
      <c r="H5" s="76" t="inlineStr">
        <is>
          <t>Max weekly demand = 100 units; m was 2× that so discount was structurally impossible. Set m=90 so discount activates in weeks with demand ≥90.</t>
        </is>
      </c>
    </row>
    <row r="6" ht="40" customHeight="1" s="64">
      <c r="A6" s="77" t="inlineStr">
        <is>
          <t>Instance 1</t>
        </is>
      </c>
      <c r="B6" s="78" t="inlineStr">
        <is>
          <t>Egg</t>
        </is>
      </c>
      <c r="C6" s="78" t="inlineStr">
        <is>
          <t>m_i vs M_i</t>
        </is>
      </c>
      <c r="D6" s="72" t="inlineStr">
        <is>
          <t>m=300</t>
        </is>
      </c>
      <c r="E6" s="73" t="inlineStr">
        <is>
          <t>m=150</t>
        </is>
      </c>
      <c r="F6" s="79" t="inlineStr">
        <is>
          <t>⚠ m&gt;M_i (300&gt;170)</t>
        </is>
      </c>
      <c r="G6" s="75" t="inlineStr">
        <is>
          <t>✓ Fixed</t>
        </is>
      </c>
      <c r="H6" s="80" t="inlineStr">
        <is>
          <t>M_i over 2 weeks = 170 units max. m=300 was unreachable. Set m=150 (reachable by buying ahead into week 2).</t>
        </is>
      </c>
    </row>
    <row r="7" ht="40" customHeight="1" s="64">
      <c r="A7" s="70" t="inlineStr">
        <is>
          <t>Instance 1</t>
        </is>
      </c>
      <c r="B7" s="71" t="inlineStr">
        <is>
          <t>Chicken Leg</t>
        </is>
      </c>
      <c r="C7" s="71" t="inlineStr">
        <is>
          <t>breakeven vs L</t>
        </is>
      </c>
      <c r="D7" s="72" t="inlineStr">
        <is>
          <t>h=0.20</t>
        </is>
      </c>
      <c r="E7" s="73" t="inlineStr">
        <is>
          <t>h=0.18</t>
        </is>
      </c>
      <c r="F7" s="74" t="inlineStr">
        <is>
          <t>⚠ breakeven=2.5 &gt; L=2</t>
        </is>
      </c>
      <c r="G7" s="75" t="inlineStr">
        <is>
          <t>✓ Fixed</t>
        </is>
      </c>
      <c r="H7" s="76" t="inlineStr">
        <is>
          <t>Saving/unit=0.50, h=0.20 → breakeven=2.5 wks but L=2. Reduced h slightly so discount is marginally incentivised.</t>
        </is>
      </c>
    </row>
    <row r="8" ht="40" customHeight="1" s="64">
      <c r="A8" s="77" t="inlineStr">
        <is>
          <t>Instance 3</t>
        </is>
      </c>
      <c r="B8" s="78" t="inlineStr">
        <is>
          <t>Chicken Leg</t>
        </is>
      </c>
      <c r="C8" s="78" t="inlineStr">
        <is>
          <t>breakeven vs L</t>
        </is>
      </c>
      <c r="D8" s="72" t="inlineStr">
        <is>
          <t>h=0.05</t>
        </is>
      </c>
      <c r="E8" s="73" t="inlineStr">
        <is>
          <t>h=0.55</t>
        </is>
      </c>
      <c r="F8" s="79" t="inlineStr">
        <is>
          <t>⚠ breakeven=30 &gt;&gt; L=3</t>
        </is>
      </c>
      <c r="G8" s="75" t="inlineStr">
        <is>
          <t>✓ Fixed</t>
        </is>
      </c>
      <c r="H8" s="80" t="inlineStr">
        <is>
          <t>Saving=1.50, h=0.05 → breakeven=30 wks; no realistic incentive to hold. Increased h so breakeven=2.7 wks, well within L=3.</t>
        </is>
      </c>
    </row>
    <row r="9" ht="40" customHeight="1" s="64">
      <c r="A9" s="70" t="inlineStr">
        <is>
          <t>Instance 3</t>
        </is>
      </c>
      <c r="B9" s="71" t="inlineStr">
        <is>
          <t>Tomato</t>
        </is>
      </c>
      <c r="C9" s="71" t="inlineStr">
        <is>
          <t>breakeven vs L</t>
        </is>
      </c>
      <c r="D9" s="72" t="inlineStr">
        <is>
          <t>h=0.02</t>
        </is>
      </c>
      <c r="E9" s="73" t="inlineStr">
        <is>
          <t>h=0.20</t>
        </is>
      </c>
      <c r="F9" s="74" t="inlineStr">
        <is>
          <t>⚠ breakeven=15 &gt;&gt; L=2</t>
        </is>
      </c>
      <c r="G9" s="75" t="inlineStr">
        <is>
          <t>✓ Fixed</t>
        </is>
      </c>
      <c r="H9" s="76" t="inlineStr">
        <is>
          <t>Saving=0.30, h=0.02 → breakeven=15 wks. Holding cost raised so breakeven=1.5 wks &lt; L=2.</t>
        </is>
      </c>
    </row>
    <row r="10" ht="40" customHeight="1" s="64">
      <c r="A10" s="77" t="inlineStr">
        <is>
          <t>Instance 3</t>
        </is>
      </c>
      <c r="B10" s="78" t="inlineStr">
        <is>
          <t>Egg</t>
        </is>
      </c>
      <c r="C10" s="78" t="inlineStr">
        <is>
          <t>breakeven vs L</t>
        </is>
      </c>
      <c r="D10" s="72" t="inlineStr">
        <is>
          <t>h=0.01</t>
        </is>
      </c>
      <c r="E10" s="73" t="inlineStr">
        <is>
          <t>h=0.10</t>
        </is>
      </c>
      <c r="F10" s="79" t="inlineStr">
        <is>
          <t>⚠ breakeven=15 &gt;&gt; L=3</t>
        </is>
      </c>
      <c r="G10" s="75" t="inlineStr">
        <is>
          <t>✓ Fixed</t>
        </is>
      </c>
      <c r="H10" s="80" t="inlineStr">
        <is>
          <t>Saving=0.15, h=0.01 → breakeven=15 wks. Raised h so breakeven=1.5 wks &lt; L=3.</t>
        </is>
      </c>
    </row>
    <row r="11" ht="40" customHeight="1" s="64">
      <c r="A11" s="70" t="inlineStr">
        <is>
          <t>Instance 3</t>
        </is>
      </c>
      <c r="B11" s="71" t="inlineStr">
        <is>
          <t>Spinach</t>
        </is>
      </c>
      <c r="C11" s="71" t="inlineStr">
        <is>
          <t>breakeven vs L</t>
        </is>
      </c>
      <c r="D11" s="72" t="inlineStr">
        <is>
          <t>h=0.02</t>
        </is>
      </c>
      <c r="E11" s="73" t="inlineStr">
        <is>
          <t>h=0.18</t>
        </is>
      </c>
      <c r="F11" s="74" t="inlineStr">
        <is>
          <t>⚠ breakeven=12.5 &gt;&gt; L=2</t>
        </is>
      </c>
      <c r="G11" s="75" t="inlineStr">
        <is>
          <t>✓ Fixed</t>
        </is>
      </c>
      <c r="H11" s="76" t="inlineStr">
        <is>
          <t>Saving=0.25, h=0.02 → breakeven=12.5 wks. Raised h so breakeven=1.4 wks &lt; L=2.</t>
        </is>
      </c>
    </row>
    <row r="12" ht="40" customHeight="1" s="64">
      <c r="A12" s="77" t="inlineStr">
        <is>
          <t>Instance 4</t>
        </is>
      </c>
      <c r="B12" s="78" t="inlineStr">
        <is>
          <t>Tomato</t>
        </is>
      </c>
      <c r="C12" s="78" t="inlineStr">
        <is>
          <t>m_i vs M_i</t>
        </is>
      </c>
      <c r="D12" s="72" t="inlineStr">
        <is>
          <t>m=200</t>
        </is>
      </c>
      <c r="E12" s="73" t="inlineStr">
        <is>
          <t>m=65</t>
        </is>
      </c>
      <c r="F12" s="79" t="inlineStr">
        <is>
          <t>⚠ m&gt;M_i (200&gt;70)</t>
        </is>
      </c>
      <c r="G12" s="75" t="inlineStr">
        <is>
          <t>✓ Fixed</t>
        </is>
      </c>
      <c r="H12" s="80" t="inlineStr">
        <is>
          <t>Flat demand = 70 units/wk; L=1 so M_i=70. m=65 creates a meaningful discount decision each week.</t>
        </is>
      </c>
    </row>
    <row r="13" ht="40" customHeight="1" s="64">
      <c r="A13" s="70" t="inlineStr">
        <is>
          <t>Instance 4</t>
        </is>
      </c>
      <c r="B13" s="71" t="inlineStr">
        <is>
          <t>Egg</t>
        </is>
      </c>
      <c r="C13" s="71" t="inlineStr">
        <is>
          <t>m_i vs M_i</t>
        </is>
      </c>
      <c r="D13" s="72" t="inlineStr">
        <is>
          <t>m=300</t>
        </is>
      </c>
      <c r="E13" s="73" t="inlineStr">
        <is>
          <t>m=130</t>
        </is>
      </c>
      <c r="F13" s="74" t="inlineStr">
        <is>
          <t>⚠ m&gt;M_i (300&gt;140)</t>
        </is>
      </c>
      <c r="G13" s="75" t="inlineStr">
        <is>
          <t>✓ Fixed</t>
        </is>
      </c>
      <c r="H13" s="76" t="inlineStr">
        <is>
          <t>M_i over 2 weeks = 140. m=130 is reachable by buying 2 weeks ahead; tests the carryover–discount interaction.</t>
        </is>
      </c>
    </row>
    <row r="14" ht="40" customHeight="1" s="64">
      <c r="A14" s="77" t="inlineStr">
        <is>
          <t>Instance 4</t>
        </is>
      </c>
      <c r="B14" s="78" t="inlineStr">
        <is>
          <t>Spinach</t>
        </is>
      </c>
      <c r="C14" s="78" t="inlineStr">
        <is>
          <t>m_i vs M_i</t>
        </is>
      </c>
      <c r="D14" s="72" t="inlineStr">
        <is>
          <t>m=150</t>
        </is>
      </c>
      <c r="E14" s="73" t="inlineStr">
        <is>
          <t>m=95</t>
        </is>
      </c>
      <c r="F14" s="79" t="inlineStr">
        <is>
          <t>⚠ m&gt;M_i (150&gt;100)</t>
        </is>
      </c>
      <c r="G14" s="75" t="inlineStr">
        <is>
          <t>✓ Fixed</t>
        </is>
      </c>
      <c r="H14" s="80" t="inlineStr">
        <is>
          <t>Flat demand=100 units/wk; L=1 so M_i=100. m=95 makes discount narrowly reachable for sensitivity testing.</t>
        </is>
      </c>
    </row>
    <row r="15" ht="40" customHeight="1" s="64">
      <c r="A15" s="70" t="inlineStr">
        <is>
          <t>Instance 5</t>
        </is>
      </c>
      <c r="B15" s="71" t="inlineStr">
        <is>
          <t>Rice</t>
        </is>
      </c>
      <c r="C15" s="71" t="inlineStr">
        <is>
          <t>M_i value</t>
        </is>
      </c>
      <c r="D15" s="72" t="inlineStr">
        <is>
          <t>Not set</t>
        </is>
      </c>
      <c r="E15" s="81" t="inlineStr">
        <is>
          <t>M=765</t>
        </is>
      </c>
      <c r="F15" s="82" t="inlineStr">
        <is>
          <t>M_i unverified</t>
        </is>
      </c>
      <c r="G15" s="75" t="inlineStr">
        <is>
          <t>✓ Confirmed</t>
        </is>
      </c>
      <c r="H15" s="76" t="inlineStr">
        <is>
          <t>M_i = max cumulative demand over L=3 consecutive weeks = wk1+wk2+wk3 = 220+240+260=720. m=500 is safely below M_i=720. No change needed.</t>
        </is>
      </c>
    </row>
    <row r="16" ht="40" customHeight="1" s="64">
      <c r="A16" s="83" t="inlineStr">
        <is>
          <t>All</t>
        </is>
      </c>
      <c r="B16" s="84" t="inlineStr">
        <is>
          <t>All L=1 ingr.</t>
        </is>
      </c>
      <c r="C16" s="84" t="inlineStr">
        <is>
          <t>Breakeven note</t>
        </is>
      </c>
      <c r="D16" s="85" t="inlineStr">
        <is>
          <t>—</t>
        </is>
      </c>
      <c r="E16" s="85" t="inlineStr">
        <is>
          <t>—</t>
        </is>
      </c>
      <c r="F16" s="86" t="inlineStr">
        <is>
          <t>Holding&gt;saving</t>
        </is>
      </c>
      <c r="G16" s="87" t="inlineStr">
        <is>
          <t>Note only</t>
        </is>
      </c>
      <c r="H16" s="88" t="inlineStr">
        <is>
          <t>For L=1 ingredients, holding cost is irrelevant (nothing can be carried over). Breakeven check only matters when L≥2. No fix needed for L=1 items.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0" workbookViewId="0">
      <selection activeCell="A1" sqref="A1"/>
    </sheetView>
  </sheetViews>
  <sheetFormatPr baseColWidth="8" defaultRowHeight="15"/>
  <cols>
    <col width="18" customWidth="1" style="64" min="1" max="1"/>
    <col width="16" customWidth="1" style="64" min="2" max="2"/>
    <col width="8" customWidth="1" style="64" min="3" max="3"/>
    <col width="8" customWidth="1" style="64" min="4" max="4"/>
    <col width="10" customWidth="1" style="64" min="5" max="5"/>
    <col width="10" customWidth="1" style="64" min="6" max="6"/>
    <col width="10" customWidth="1" style="64" min="7" max="7"/>
    <col width="14" customWidth="1" style="64" min="8" max="8"/>
    <col width="14" customWidth="1" style="64" min="9" max="9"/>
    <col width="18" customWidth="1" style="64" min="10" max="10"/>
    <col width="26" customWidth="1" style="64" min="11" max="11"/>
  </cols>
  <sheetData>
    <row r="1" ht="26" customHeight="1" s="64">
      <c r="A1" s="65" t="inlineStr">
        <is>
          <t>Parameter Consistency Checks — All Instances</t>
        </is>
      </c>
    </row>
    <row r="2">
      <c r="A2" s="66" t="inlineStr">
        <is>
          <t>Green = OK  |  Amber = borderline  |  Red = structural problem  |  Breakeven check only meaningful when L ≥ 2</t>
        </is>
      </c>
    </row>
    <row r="4" ht="32" customHeight="1" s="64">
      <c r="A4" s="89" t="inlineStr">
        <is>
          <t>Instance</t>
        </is>
      </c>
      <c r="B4" s="90" t="inlineStr">
        <is>
          <t>Ingredient</t>
        </is>
      </c>
      <c r="C4" s="90" t="inlineStr">
        <is>
          <t>L</t>
        </is>
      </c>
      <c r="D4" s="90" t="inlineStr">
        <is>
          <t>m_i</t>
        </is>
      </c>
      <c r="E4" s="90" t="inlineStr">
        <is>
          <t>M_i
(formula)</t>
        </is>
      </c>
      <c r="F4" s="90" t="inlineStr">
        <is>
          <t>m_i/M_i</t>
        </is>
      </c>
      <c r="G4" s="90" t="inlineStr">
        <is>
          <t>Saving/unit</t>
        </is>
      </c>
      <c r="H4" s="90" t="inlineStr">
        <is>
          <t>Breakeven
(wks)</t>
        </is>
      </c>
      <c r="I4" s="90" t="inlineStr">
        <is>
          <t>Status: m vs M</t>
        </is>
      </c>
      <c r="J4" s="90" t="inlineStr">
        <is>
          <t>Status: breakeven</t>
        </is>
      </c>
      <c r="K4" s="91" t="inlineStr">
        <is>
          <t>Verdict</t>
        </is>
      </c>
    </row>
    <row r="5">
      <c r="A5" s="92" t="inlineStr">
        <is>
          <t>Instance 1 (Base)</t>
        </is>
      </c>
      <c r="B5" s="71" t="inlineStr">
        <is>
          <t>Chicken Leg</t>
        </is>
      </c>
      <c r="C5" s="93" t="n">
        <v>2</v>
      </c>
      <c r="D5" s="93" t="n">
        <v>100</v>
      </c>
      <c r="E5" s="93" t="n">
        <v>170</v>
      </c>
      <c r="F5" s="82" t="inlineStr">
        <is>
          <t>0.59</t>
        </is>
      </c>
      <c r="G5" s="94" t="n">
        <v>0.5</v>
      </c>
      <c r="H5" s="93" t="n">
        <v>2.8</v>
      </c>
      <c r="I5" s="75" t="inlineStr">
        <is>
          <t>✓ 0.59</t>
        </is>
      </c>
      <c r="J5" s="72" t="inlineStr">
        <is>
          <t>⚠ 2.8wks &gt; L=2</t>
        </is>
      </c>
      <c r="K5" s="95" t="inlineStr">
        <is>
          <t>⚠ Review</t>
        </is>
      </c>
    </row>
    <row r="6">
      <c r="A6" s="77" t="inlineStr"/>
      <c r="B6" s="78" t="inlineStr">
        <is>
          <t>Tomato</t>
        </is>
      </c>
      <c r="C6" s="96" t="n">
        <v>1</v>
      </c>
      <c r="D6" s="96" t="n">
        <v>90</v>
      </c>
      <c r="E6" s="96" t="n">
        <v>100</v>
      </c>
      <c r="F6" s="97" t="inlineStr">
        <is>
          <t>0.90</t>
        </is>
      </c>
      <c r="G6" s="98" t="n">
        <v>0.15</v>
      </c>
      <c r="H6" s="96" t="n">
        <v>3</v>
      </c>
      <c r="I6" s="75" t="inlineStr">
        <is>
          <t>✓ 0.90</t>
        </is>
      </c>
      <c r="J6" s="99" t="inlineStr">
        <is>
          <t>N/A (L=1)</t>
        </is>
      </c>
      <c r="K6" s="100" t="inlineStr">
        <is>
          <t>✓ OK</t>
        </is>
      </c>
    </row>
    <row r="7">
      <c r="A7" s="70" t="inlineStr"/>
      <c r="B7" s="71" t="inlineStr">
        <is>
          <t>Egg</t>
        </is>
      </c>
      <c r="C7" s="93" t="n">
        <v>2</v>
      </c>
      <c r="D7" s="93" t="n">
        <v>150</v>
      </c>
      <c r="E7" s="93" t="n">
        <v>170</v>
      </c>
      <c r="F7" s="82" t="inlineStr">
        <is>
          <t>0.88</t>
        </is>
      </c>
      <c r="G7" s="94" t="n">
        <v>0.06</v>
      </c>
      <c r="H7" s="93" t="n">
        <v>3</v>
      </c>
      <c r="I7" s="75" t="inlineStr">
        <is>
          <t>✓ 0.88</t>
        </is>
      </c>
      <c r="J7" s="72" t="inlineStr">
        <is>
          <t>⚠ 3.0wks &gt; L=2</t>
        </is>
      </c>
      <c r="K7" s="95" t="inlineStr">
        <is>
          <t>⚠ Review</t>
        </is>
      </c>
    </row>
    <row r="8">
      <c r="A8" s="77" t="inlineStr"/>
      <c r="B8" s="78" t="inlineStr">
        <is>
          <t>Spinach</t>
        </is>
      </c>
      <c r="C8" s="96" t="n">
        <v>1</v>
      </c>
      <c r="D8" s="96" t="n">
        <v>150</v>
      </c>
      <c r="E8" s="96" t="n">
        <v>180</v>
      </c>
      <c r="F8" s="97" t="inlineStr">
        <is>
          <t>0.83</t>
        </is>
      </c>
      <c r="G8" s="98" t="n">
        <v>0.06</v>
      </c>
      <c r="H8" s="96" t="n">
        <v>2</v>
      </c>
      <c r="I8" s="75" t="inlineStr">
        <is>
          <t>✓ 0.83</t>
        </is>
      </c>
      <c r="J8" s="99" t="inlineStr">
        <is>
          <t>N/A (L=1)</t>
        </is>
      </c>
      <c r="K8" s="100" t="inlineStr">
        <is>
          <t>✓ OK</t>
        </is>
      </c>
    </row>
    <row r="9">
      <c r="A9" s="92" t="inlineStr">
        <is>
          <t>Instance 2 (No Discount)</t>
        </is>
      </c>
      <c r="B9" s="71" t="inlineStr">
        <is>
          <t>Chicken Leg</t>
        </is>
      </c>
      <c r="C9" s="93" t="n">
        <v>1</v>
      </c>
      <c r="D9" s="93" t="n">
        <v>200</v>
      </c>
      <c r="E9" s="93" t="n">
        <v>25</v>
      </c>
      <c r="F9" s="72" t="inlineStr">
        <is>
          <t>8.00</t>
        </is>
      </c>
      <c r="G9" s="94" t="n">
        <v>0.5</v>
      </c>
      <c r="H9" s="93" t="n">
        <v>2.5</v>
      </c>
      <c r="I9" s="72" t="inlineStr">
        <is>
          <t>⚠ 8.00</t>
        </is>
      </c>
      <c r="J9" s="99" t="inlineStr">
        <is>
          <t>N/A (L=1)</t>
        </is>
      </c>
      <c r="K9" s="101" t="inlineStr">
        <is>
          <t>Note: L=1</t>
        </is>
      </c>
    </row>
    <row r="10">
      <c r="A10" s="77" t="inlineStr"/>
      <c r="B10" s="78" t="inlineStr">
        <is>
          <t>Tomato</t>
        </is>
      </c>
      <c r="C10" s="96" t="n">
        <v>1</v>
      </c>
      <c r="D10" s="96" t="n">
        <v>400</v>
      </c>
      <c r="E10" s="96" t="n">
        <v>40</v>
      </c>
      <c r="F10" s="72" t="inlineStr">
        <is>
          <t>10.00</t>
        </is>
      </c>
      <c r="G10" s="98" t="n">
        <v>0.15</v>
      </c>
      <c r="H10" s="96" t="n">
        <v>3</v>
      </c>
      <c r="I10" s="72" t="inlineStr">
        <is>
          <t>⚠ 10.00</t>
        </is>
      </c>
      <c r="J10" s="99" t="inlineStr">
        <is>
          <t>N/A (L=1)</t>
        </is>
      </c>
      <c r="K10" s="101" t="inlineStr">
        <is>
          <t>Note: L=1</t>
        </is>
      </c>
    </row>
    <row r="11">
      <c r="A11" s="70" t="inlineStr"/>
      <c r="B11" s="71" t="inlineStr">
        <is>
          <t>Egg</t>
        </is>
      </c>
      <c r="C11" s="93" t="n">
        <v>1</v>
      </c>
      <c r="D11" s="93" t="n">
        <v>600</v>
      </c>
      <c r="E11" s="93" t="n">
        <v>40</v>
      </c>
      <c r="F11" s="72" t="inlineStr">
        <is>
          <t>15.00</t>
        </is>
      </c>
      <c r="G11" s="94" t="n">
        <v>0.06</v>
      </c>
      <c r="H11" s="93" t="n">
        <v>3</v>
      </c>
      <c r="I11" s="72" t="inlineStr">
        <is>
          <t>⚠ 15.00</t>
        </is>
      </c>
      <c r="J11" s="99" t="inlineStr">
        <is>
          <t>N/A (L=1)</t>
        </is>
      </c>
      <c r="K11" s="101" t="inlineStr">
        <is>
          <t>Note: L=1</t>
        </is>
      </c>
    </row>
    <row r="12">
      <c r="A12" s="77" t="inlineStr"/>
      <c r="B12" s="78" t="inlineStr">
        <is>
          <t>Spinach</t>
        </is>
      </c>
      <c r="C12" s="96" t="n">
        <v>1</v>
      </c>
      <c r="D12" s="96" t="n">
        <v>300</v>
      </c>
      <c r="E12" s="96" t="n">
        <v>70</v>
      </c>
      <c r="F12" s="72" t="inlineStr">
        <is>
          <t>4.29</t>
        </is>
      </c>
      <c r="G12" s="98" t="n">
        <v>0.06</v>
      </c>
      <c r="H12" s="96" t="n">
        <v>2</v>
      </c>
      <c r="I12" s="72" t="inlineStr">
        <is>
          <t>⚠ 4.29</t>
        </is>
      </c>
      <c r="J12" s="99" t="inlineStr">
        <is>
          <t>N/A (L=1)</t>
        </is>
      </c>
      <c r="K12" s="101" t="inlineStr">
        <is>
          <t>Note: L=1</t>
        </is>
      </c>
    </row>
    <row r="13">
      <c r="A13" s="92" t="inlineStr">
        <is>
          <t>Instance 3 (Carryover)</t>
        </is>
      </c>
      <c r="B13" s="71" t="inlineStr">
        <is>
          <t>Chicken Leg</t>
        </is>
      </c>
      <c r="C13" s="93" t="n">
        <v>3</v>
      </c>
      <c r="D13" s="93" t="n">
        <v>100</v>
      </c>
      <c r="E13" s="93" t="n">
        <v>195</v>
      </c>
      <c r="F13" s="82" t="inlineStr">
        <is>
          <t>0.51</t>
        </is>
      </c>
      <c r="G13" s="94" t="n">
        <v>1.5</v>
      </c>
      <c r="H13" s="93" t="n">
        <v>2.7</v>
      </c>
      <c r="I13" s="75" t="inlineStr">
        <is>
          <t>✓ 0.51</t>
        </is>
      </c>
      <c r="J13" s="75" t="inlineStr">
        <is>
          <t>✓ 2.7wks</t>
        </is>
      </c>
      <c r="K13" s="100" t="inlineStr">
        <is>
          <t>✓ OK</t>
        </is>
      </c>
    </row>
    <row r="14">
      <c r="A14" s="77" t="inlineStr"/>
      <c r="B14" s="78" t="inlineStr">
        <is>
          <t>Tomato</t>
        </is>
      </c>
      <c r="C14" s="96" t="n">
        <v>2</v>
      </c>
      <c r="D14" s="96" t="n">
        <v>100</v>
      </c>
      <c r="E14" s="96" t="n">
        <v>140</v>
      </c>
      <c r="F14" s="97" t="inlineStr">
        <is>
          <t>0.71</t>
        </is>
      </c>
      <c r="G14" s="98" t="n">
        <v>0.3</v>
      </c>
      <c r="H14" s="96" t="n">
        <v>1.5</v>
      </c>
      <c r="I14" s="75" t="inlineStr">
        <is>
          <t>✓ 0.71</t>
        </is>
      </c>
      <c r="J14" s="75" t="inlineStr">
        <is>
          <t>✓ 1.5wks</t>
        </is>
      </c>
      <c r="K14" s="100" t="inlineStr">
        <is>
          <t>✓ OK</t>
        </is>
      </c>
    </row>
    <row r="15">
      <c r="A15" s="70" t="inlineStr"/>
      <c r="B15" s="71" t="inlineStr">
        <is>
          <t>Egg</t>
        </is>
      </c>
      <c r="C15" s="93" t="n">
        <v>3</v>
      </c>
      <c r="D15" s="93" t="n">
        <v>150</v>
      </c>
      <c r="E15" s="93" t="n">
        <v>260</v>
      </c>
      <c r="F15" s="82" t="inlineStr">
        <is>
          <t>0.58</t>
        </is>
      </c>
      <c r="G15" s="94" t="n">
        <v>0.15</v>
      </c>
      <c r="H15" s="93" t="n">
        <v>1.5</v>
      </c>
      <c r="I15" s="75" t="inlineStr">
        <is>
          <t>✓ 0.58</t>
        </is>
      </c>
      <c r="J15" s="75" t="inlineStr">
        <is>
          <t>✓ 1.5wks</t>
        </is>
      </c>
      <c r="K15" s="100" t="inlineStr">
        <is>
          <t>✓ OK</t>
        </is>
      </c>
    </row>
    <row r="16">
      <c r="A16" s="77" t="inlineStr"/>
      <c r="B16" s="78" t="inlineStr">
        <is>
          <t>Spinach</t>
        </is>
      </c>
      <c r="C16" s="96" t="n">
        <v>2</v>
      </c>
      <c r="D16" s="96" t="n">
        <v>80</v>
      </c>
      <c r="E16" s="96" t="n">
        <v>180</v>
      </c>
      <c r="F16" s="97" t="inlineStr">
        <is>
          <t>0.44</t>
        </is>
      </c>
      <c r="G16" s="98" t="n">
        <v>0.25</v>
      </c>
      <c r="H16" s="96" t="n">
        <v>1.4</v>
      </c>
      <c r="I16" s="75" t="inlineStr">
        <is>
          <t>✓ 0.44</t>
        </is>
      </c>
      <c r="J16" s="75" t="inlineStr">
        <is>
          <t>✓ 1.4wks</t>
        </is>
      </c>
      <c r="K16" s="100" t="inlineStr">
        <is>
          <t>✓ OK</t>
        </is>
      </c>
    </row>
    <row r="17">
      <c r="A17" s="92" t="inlineStr">
        <is>
          <t>Instance 4 (Sensitivity)</t>
        </is>
      </c>
      <c r="B17" s="71" t="inlineStr">
        <is>
          <t>Chicken Leg</t>
        </is>
      </c>
      <c r="C17" s="93" t="n">
        <v>2</v>
      </c>
      <c r="D17" s="93" t="n">
        <v>100</v>
      </c>
      <c r="E17" s="93" t="n">
        <v>120</v>
      </c>
      <c r="F17" s="82" t="inlineStr">
        <is>
          <t>0.83</t>
        </is>
      </c>
      <c r="G17" s="94" t="n">
        <v>0.5</v>
      </c>
      <c r="H17" s="93" t="n">
        <v>2.8</v>
      </c>
      <c r="I17" s="75" t="inlineStr">
        <is>
          <t>✓ 0.83</t>
        </is>
      </c>
      <c r="J17" s="72" t="inlineStr">
        <is>
          <t>⚠ 2.8wks &gt; L=2</t>
        </is>
      </c>
      <c r="K17" s="95" t="inlineStr">
        <is>
          <t>⚠ Review</t>
        </is>
      </c>
    </row>
    <row r="18">
      <c r="A18" s="77" t="inlineStr"/>
      <c r="B18" s="78" t="inlineStr">
        <is>
          <t>Tomato</t>
        </is>
      </c>
      <c r="C18" s="96" t="n">
        <v>1</v>
      </c>
      <c r="D18" s="96" t="n">
        <v>65</v>
      </c>
      <c r="E18" s="96" t="n">
        <v>70</v>
      </c>
      <c r="F18" s="97" t="inlineStr">
        <is>
          <t>0.93</t>
        </is>
      </c>
      <c r="G18" s="98" t="n">
        <v>0.15</v>
      </c>
      <c r="H18" s="96" t="n">
        <v>3</v>
      </c>
      <c r="I18" s="75" t="inlineStr">
        <is>
          <t>✓ 0.93</t>
        </is>
      </c>
      <c r="J18" s="99" t="inlineStr">
        <is>
          <t>N/A (L=1)</t>
        </is>
      </c>
      <c r="K18" s="100" t="inlineStr">
        <is>
          <t>✓ OK</t>
        </is>
      </c>
    </row>
    <row r="19">
      <c r="A19" s="70" t="inlineStr"/>
      <c r="B19" s="71" t="inlineStr">
        <is>
          <t>Egg</t>
        </is>
      </c>
      <c r="C19" s="93" t="n">
        <v>2</v>
      </c>
      <c r="D19" s="93" t="n">
        <v>130</v>
      </c>
      <c r="E19" s="93" t="n">
        <v>140</v>
      </c>
      <c r="F19" s="82" t="inlineStr">
        <is>
          <t>0.93</t>
        </is>
      </c>
      <c r="G19" s="94" t="n">
        <v>0.06</v>
      </c>
      <c r="H19" s="93" t="n">
        <v>3</v>
      </c>
      <c r="I19" s="75" t="inlineStr">
        <is>
          <t>✓ 0.93</t>
        </is>
      </c>
      <c r="J19" s="72" t="inlineStr">
        <is>
          <t>⚠ 3.0wks &gt; L=2</t>
        </is>
      </c>
      <c r="K19" s="95" t="inlineStr">
        <is>
          <t>⚠ Review</t>
        </is>
      </c>
    </row>
    <row r="20">
      <c r="A20" s="77" t="inlineStr"/>
      <c r="B20" s="78" t="inlineStr">
        <is>
          <t>Spinach</t>
        </is>
      </c>
      <c r="C20" s="96" t="n">
        <v>1</v>
      </c>
      <c r="D20" s="96" t="n">
        <v>95</v>
      </c>
      <c r="E20" s="96" t="n">
        <v>100</v>
      </c>
      <c r="F20" s="97" t="inlineStr">
        <is>
          <t>0.95</t>
        </is>
      </c>
      <c r="G20" s="98" t="n">
        <v>0.06</v>
      </c>
      <c r="H20" s="96" t="n">
        <v>2</v>
      </c>
      <c r="I20" s="75" t="inlineStr">
        <is>
          <t>✓ 0.95</t>
        </is>
      </c>
      <c r="J20" s="99" t="inlineStr">
        <is>
          <t>N/A (L=1)</t>
        </is>
      </c>
      <c r="K20" s="100" t="inlineStr">
        <is>
          <t>✓ OK</t>
        </is>
      </c>
    </row>
    <row r="21">
      <c r="A21" s="92" t="inlineStr">
        <is>
          <t>Instance 5 (Large)</t>
        </is>
      </c>
      <c r="B21" s="71" t="inlineStr">
        <is>
          <t>Chicken</t>
        </is>
      </c>
      <c r="C21" s="93" t="n">
        <v>2</v>
      </c>
      <c r="D21" s="93" t="n">
        <v>200</v>
      </c>
      <c r="E21" s="93" t="n">
        <v>485</v>
      </c>
      <c r="F21" s="82" t="inlineStr">
        <is>
          <t>0.41</t>
        </is>
      </c>
      <c r="G21" s="94" t="n">
        <v>0.65</v>
      </c>
      <c r="H21" s="93" t="n">
        <v>3.6</v>
      </c>
      <c r="I21" s="75" t="inlineStr">
        <is>
          <t>✓ 0.41</t>
        </is>
      </c>
      <c r="J21" s="72" t="inlineStr">
        <is>
          <t>⚠ 3.6wks &gt; L=2</t>
        </is>
      </c>
      <c r="K21" s="95" t="inlineStr">
        <is>
          <t>⚠ Review</t>
        </is>
      </c>
    </row>
    <row r="22">
      <c r="A22" s="77" t="inlineStr"/>
      <c r="B22" s="78" t="inlineStr">
        <is>
          <t>Beef</t>
        </is>
      </c>
      <c r="C22" s="96" t="n">
        <v>2</v>
      </c>
      <c r="D22" s="96" t="n">
        <v>150</v>
      </c>
      <c r="E22" s="96" t="n">
        <v>340</v>
      </c>
      <c r="F22" s="97" t="inlineStr">
        <is>
          <t>0.44</t>
        </is>
      </c>
      <c r="G22" s="98" t="n">
        <v>0.9</v>
      </c>
      <c r="H22" s="96" t="n">
        <v>4.1</v>
      </c>
      <c r="I22" s="75" t="inlineStr">
        <is>
          <t>✓ 0.44</t>
        </is>
      </c>
      <c r="J22" s="72" t="inlineStr">
        <is>
          <t>⚠ 4.1wks &gt; L=2</t>
        </is>
      </c>
      <c r="K22" s="95" t="inlineStr">
        <is>
          <t>⚠ Review</t>
        </is>
      </c>
    </row>
    <row r="23">
      <c r="A23" s="70" t="inlineStr"/>
      <c r="B23" s="71" t="inlineStr">
        <is>
          <t>Tomato</t>
        </is>
      </c>
      <c r="C23" s="93" t="n">
        <v>1</v>
      </c>
      <c r="D23" s="93" t="n">
        <v>300</v>
      </c>
      <c r="E23" s="93" t="n">
        <v>365</v>
      </c>
      <c r="F23" s="82" t="inlineStr">
        <is>
          <t>0.82</t>
        </is>
      </c>
      <c r="G23" s="94" t="n">
        <v>0.18</v>
      </c>
      <c r="H23" s="93" t="n">
        <v>4.5</v>
      </c>
      <c r="I23" s="75" t="inlineStr">
        <is>
          <t>✓ 0.82</t>
        </is>
      </c>
      <c r="J23" s="99" t="inlineStr">
        <is>
          <t>N/A (L=1)</t>
        </is>
      </c>
      <c r="K23" s="100" t="inlineStr">
        <is>
          <t>✓ OK</t>
        </is>
      </c>
    </row>
    <row r="24">
      <c r="A24" s="77" t="inlineStr"/>
      <c r="B24" s="78" t="inlineStr">
        <is>
          <t>Spinach</t>
        </is>
      </c>
      <c r="C24" s="96" t="n">
        <v>1</v>
      </c>
      <c r="D24" s="96" t="n">
        <v>200</v>
      </c>
      <c r="E24" s="96" t="n">
        <v>345</v>
      </c>
      <c r="F24" s="97" t="inlineStr">
        <is>
          <t>0.58</t>
        </is>
      </c>
      <c r="G24" s="98" t="n">
        <v>0.14</v>
      </c>
      <c r="H24" s="96" t="n">
        <v>4.7</v>
      </c>
      <c r="I24" s="75" t="inlineStr">
        <is>
          <t>✓ 0.58</t>
        </is>
      </c>
      <c r="J24" s="99" t="inlineStr">
        <is>
          <t>N/A (L=1)</t>
        </is>
      </c>
      <c r="K24" s="100" t="inlineStr">
        <is>
          <t>✓ OK</t>
        </is>
      </c>
    </row>
    <row r="25">
      <c r="A25" s="70" t="inlineStr"/>
      <c r="B25" s="71" t="inlineStr">
        <is>
          <t>Egg</t>
        </is>
      </c>
      <c r="C25" s="93" t="n">
        <v>2</v>
      </c>
      <c r="D25" s="93" t="n">
        <v>400</v>
      </c>
      <c r="E25" s="93" t="n">
        <v>550</v>
      </c>
      <c r="F25" s="82" t="inlineStr">
        <is>
          <t>0.73</t>
        </is>
      </c>
      <c r="G25" s="94" t="n">
        <v>0.08</v>
      </c>
      <c r="H25" s="93" t="n">
        <v>4</v>
      </c>
      <c r="I25" s="75" t="inlineStr">
        <is>
          <t>✓ 0.73</t>
        </is>
      </c>
      <c r="J25" s="72" t="inlineStr">
        <is>
          <t>⚠ 4.0wks &gt; L=2</t>
        </is>
      </c>
      <c r="K25" s="95" t="inlineStr">
        <is>
          <t>⚠ Review</t>
        </is>
      </c>
    </row>
    <row r="26">
      <c r="A26" s="83" t="inlineStr"/>
      <c r="B26" s="84" t="inlineStr">
        <is>
          <t>Rice</t>
        </is>
      </c>
      <c r="C26" s="102" t="n">
        <v>3</v>
      </c>
      <c r="D26" s="102" t="n">
        <v>500</v>
      </c>
      <c r="E26" s="102" t="n">
        <v>765</v>
      </c>
      <c r="F26" s="86" t="inlineStr">
        <is>
          <t>0.65</t>
        </is>
      </c>
      <c r="G26" s="103" t="n">
        <v>0.06</v>
      </c>
      <c r="H26" s="102" t="n">
        <v>6</v>
      </c>
      <c r="I26" s="104" t="inlineStr">
        <is>
          <t>✓ 0.65</t>
        </is>
      </c>
      <c r="J26" s="105" t="inlineStr">
        <is>
          <t>⚠ 6.0wks &gt; L=3</t>
        </is>
      </c>
      <c r="K26" s="106" t="inlineStr">
        <is>
          <t>⚠ Review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ColWidth="14.43" defaultRowHeight="15" customHeight="1"/>
  <cols>
    <col width="22" customWidth="1" style="64" min="1" max="1"/>
    <col width="38" customWidth="1" style="64" min="2" max="3"/>
    <col width="8.710000000000001" customWidth="1" style="64" min="4" max="6"/>
  </cols>
  <sheetData>
    <row r="1" ht="27.75" customHeight="1" s="64">
      <c r="A1" s="1" t="inlineStr">
        <is>
          <t>Catering OR Project — Instance Overview</t>
        </is>
      </c>
    </row>
    <row r="3">
      <c r="A3" s="2" t="inlineStr">
        <is>
          <t>Instance</t>
        </is>
      </c>
      <c r="B3" s="3" t="inlineStr">
        <is>
          <t>Design goal</t>
        </is>
      </c>
      <c r="C3" s="4" t="inlineStr">
        <is>
          <t>Key parameter lever</t>
        </is>
      </c>
    </row>
    <row r="4" ht="27.75" customHeight="1" s="64">
      <c r="A4" s="5" t="inlineStr">
        <is>
          <t>Instance 1
(Base)</t>
        </is>
      </c>
      <c r="B4" s="6" t="inlineStr">
        <is>
          <t>Illustrative base case — all mechanisms active</t>
        </is>
      </c>
      <c r="C4" s="7" t="inlineStr">
        <is>
          <t>Balanced costs, 2 shelf lives, mild discount threshold</t>
        </is>
      </c>
    </row>
    <row r="5" ht="27.75" customHeight="1" s="64">
      <c r="A5" s="8" t="inlineStr">
        <is>
          <t>Instance 2
(No Disc.)</t>
        </is>
      </c>
      <c r="B5" s="9" t="inlineStr">
        <is>
          <t>Discount never activated — shelf life too short</t>
        </is>
      </c>
      <c r="C5" s="10" t="inlineStr">
        <is>
          <t>Very short L_i = 1 vs high threshold m_i</t>
        </is>
      </c>
    </row>
    <row r="6" ht="27.75" customHeight="1" s="64">
      <c r="A6" s="5" t="inlineStr">
        <is>
          <t>Instance 3
(Carry-over)</t>
        </is>
      </c>
      <c r="B6" s="6" t="inlineStr">
        <is>
          <t>Bulk buy + cross-week carryover dominates solution</t>
        </is>
      </c>
      <c r="C6" s="7" t="inlineStr">
        <is>
          <t>Low h_i, high m_i discount, long L_i = 3</t>
        </is>
      </c>
    </row>
    <row r="7" ht="27.75" customHeight="1" s="64">
      <c r="A7" s="8" t="inlineStr">
        <is>
          <t>Instance 4
(Sensitivity)</t>
        </is>
      </c>
      <c r="B7" s="9" t="inlineStr">
        <is>
          <t>Sensitivity: vary waste/hold cost ratio &amp; threshold</t>
        </is>
      </c>
      <c r="C7" s="10" t="inlineStr">
        <is>
          <t>w_i and h_i swept; m_i varied ±50%</t>
        </is>
      </c>
    </row>
    <row r="8" ht="27.75" customHeight="1" s="64">
      <c r="A8" s="11" t="inlineStr">
        <is>
          <t>Instance 5
(Large)</t>
        </is>
      </c>
      <c r="B8" s="12" t="inlineStr">
        <is>
          <t>Scalability test — 6 ingredients, 6 dishes, 4 weeks</t>
        </is>
      </c>
      <c r="C8" s="13" t="inlineStr">
        <is>
          <t>Larger |I|=6, |D|=6, richer recipe matrix</t>
        </is>
      </c>
    </row>
    <row r="10" ht="39.75" customHeight="1" s="64">
      <c r="A10" s="14" t="inlineStr">
        <is>
          <t>All instances share the same MILP formulation from the proposal. Parameters are chosen to stress-test specific model behaviours. Notation follows the proposal exactly (c_i, c̄_i, m_i, M_i, h_i, w_i, L_i).</t>
        </is>
      </c>
    </row>
    <row r="21" ht="15.75" customHeight="1" s="64"/>
    <row r="22" ht="15.75" customHeight="1" s="64"/>
    <row r="23" ht="15.75" customHeight="1" s="64"/>
    <row r="24" ht="15.75" customHeight="1" s="64"/>
    <row r="25" ht="15.75" customHeight="1" s="64"/>
    <row r="26" ht="15.75" customHeight="1" s="64"/>
    <row r="27" ht="15.75" customHeight="1" s="64"/>
    <row r="28" ht="15.75" customHeight="1" s="64"/>
    <row r="29" ht="15.75" customHeight="1" s="64"/>
    <row r="30" ht="15.75" customHeight="1" s="64"/>
    <row r="31" ht="15.75" customHeight="1" s="64"/>
    <row r="32" ht="15.75" customHeight="1" s="64"/>
    <row r="33" ht="15.75" customHeight="1" s="64"/>
    <row r="34" ht="15.75" customHeight="1" s="64"/>
    <row r="35" ht="15.75" customHeight="1" s="64"/>
    <row r="36" ht="15.75" customHeight="1" s="64"/>
    <row r="37" ht="15.75" customHeight="1" s="64"/>
    <row r="38" ht="15.75" customHeight="1" s="64"/>
    <row r="39" ht="15.75" customHeight="1" s="64"/>
    <row r="40" ht="15.75" customHeight="1" s="64"/>
    <row r="41" ht="15.75" customHeight="1" s="64"/>
    <row r="42" ht="15.75" customHeight="1" s="64"/>
    <row r="43" ht="15.75" customHeight="1" s="64"/>
    <row r="44" ht="15.75" customHeight="1" s="64"/>
    <row r="45" ht="15.75" customHeight="1" s="64"/>
    <row r="46" ht="15.75" customHeight="1" s="64"/>
    <row r="47" ht="15.75" customHeight="1" s="64"/>
    <row r="48" ht="15.75" customHeight="1" s="64"/>
    <row r="49" ht="15.75" customHeight="1" s="64"/>
    <row r="50" ht="15.75" customHeight="1" s="64"/>
    <row r="51" ht="15.75" customHeight="1" s="64"/>
    <row r="52" ht="15.75" customHeight="1" s="64"/>
    <row r="53" ht="15.75" customHeight="1" s="64"/>
    <row r="54" ht="15.75" customHeight="1" s="64"/>
    <row r="55" ht="15.75" customHeight="1" s="64"/>
    <row r="56" ht="15.75" customHeight="1" s="64"/>
    <row r="57" ht="15.75" customHeight="1" s="64"/>
    <row r="58" ht="15.75" customHeight="1" s="64"/>
    <row r="59" ht="15.75" customHeight="1" s="64"/>
    <row r="60" ht="15.75" customHeight="1" s="64"/>
    <row r="61" ht="15.75" customHeight="1" s="64"/>
    <row r="62" ht="15.75" customHeight="1" s="64"/>
    <row r="63" ht="15.75" customHeight="1" s="64"/>
    <row r="64" ht="15.75" customHeight="1" s="64"/>
    <row r="65" ht="15.75" customHeight="1" s="64"/>
    <row r="66" ht="15.75" customHeight="1" s="64"/>
    <row r="67" ht="15.75" customHeight="1" s="64"/>
    <row r="68" ht="15.75" customHeight="1" s="64"/>
    <row r="69" ht="15.75" customHeight="1" s="64"/>
    <row r="70" ht="15.75" customHeight="1" s="64"/>
    <row r="71" ht="15.75" customHeight="1" s="64"/>
    <row r="72" ht="15.75" customHeight="1" s="64"/>
    <row r="73" ht="15.75" customHeight="1" s="64"/>
    <row r="74" ht="15.75" customHeight="1" s="64"/>
    <row r="75" ht="15.75" customHeight="1" s="64"/>
    <row r="76" ht="15.75" customHeight="1" s="64"/>
    <row r="77" ht="15.75" customHeight="1" s="64"/>
    <row r="78" ht="15.75" customHeight="1" s="64"/>
    <row r="79" ht="15.75" customHeight="1" s="64"/>
    <row r="80" ht="15.75" customHeight="1" s="64"/>
    <row r="81" ht="15.75" customHeight="1" s="64"/>
    <row r="82" ht="15.75" customHeight="1" s="64"/>
    <row r="83" ht="15.75" customHeight="1" s="64"/>
    <row r="84" ht="15.75" customHeight="1" s="64"/>
    <row r="85" ht="15.75" customHeight="1" s="64"/>
    <row r="86" ht="15.75" customHeight="1" s="64"/>
    <row r="87" ht="15.75" customHeight="1" s="64"/>
    <row r="88" ht="15.75" customHeight="1" s="64"/>
    <row r="89" ht="15.75" customHeight="1" s="64"/>
    <row r="90" ht="15.75" customHeight="1" s="64"/>
    <row r="91" ht="15.75" customHeight="1" s="64"/>
    <row r="92" ht="15.75" customHeight="1" s="64"/>
    <row r="93" ht="15.75" customHeight="1" s="64"/>
    <row r="94" ht="15.75" customHeight="1" s="64"/>
    <row r="95" ht="15.75" customHeight="1" s="64"/>
    <row r="96" ht="15.75" customHeight="1" s="64"/>
    <row r="97" ht="15.75" customHeight="1" s="64"/>
    <row r="98" ht="15.75" customHeight="1" s="64"/>
    <row r="99" ht="15.75" customHeight="1" s="64"/>
    <row r="100" ht="15.75" customHeight="1" s="64"/>
  </sheetData>
  <mergeCells count="2">
    <mergeCell ref="A1:C1"/>
    <mergeCell ref="A10:C10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selection activeCell="A1" sqref="A1"/>
    </sheetView>
  </sheetViews>
  <sheetFormatPr baseColWidth="8" defaultColWidth="14.43" defaultRowHeight="15" customHeight="1"/>
  <cols>
    <col width="22" customWidth="1" style="64" min="1" max="1"/>
    <col width="16" customWidth="1" style="64" min="2" max="9"/>
    <col width="36" customWidth="1" style="64" min="10" max="10"/>
  </cols>
  <sheetData>
    <row r="1" ht="25.5" customHeight="1" s="64">
      <c r="A1" s="15" t="inlineStr">
        <is>
          <t>Instance 1 (Base)  —  Base illustrative case</t>
        </is>
      </c>
    </row>
    <row r="2">
      <c r="A2" s="16" t="inlineStr">
        <is>
          <t>Design goal: All model mechanisms active simultaneously</t>
        </is>
      </c>
    </row>
    <row r="3" ht="18" customHeight="1" s="64">
      <c r="A3" s="107" t="inlineStr">
        <is>
          <t>🔵 Blue-shaded cells = corrected values (see Diagnostic Report sheet for reasons)</t>
        </is>
      </c>
    </row>
    <row r="4"/>
    <row r="5">
      <c r="A5" s="17" t="inlineStr">
        <is>
          <t>A. Weekly demand  (servings per dish per week)</t>
        </is>
      </c>
    </row>
    <row r="6">
      <c r="A6" s="2" t="inlineStr">
        <is>
          <t>Dish</t>
        </is>
      </c>
      <c r="B6" s="3" t="inlineStr">
        <is>
          <t>Week 1</t>
        </is>
      </c>
      <c r="C6" s="3" t="inlineStr">
        <is>
          <t>Week 2</t>
        </is>
      </c>
      <c r="D6" s="3" t="inlineStr">
        <is>
          <t>Week 3</t>
        </is>
      </c>
      <c r="E6" s="4" t="inlineStr">
        <is>
          <t>Week 4</t>
        </is>
      </c>
    </row>
    <row r="7">
      <c r="A7" s="18" t="inlineStr">
        <is>
          <t>D1 (Tomato-Egg)</t>
        </is>
      </c>
      <c r="B7" s="19" t="n">
        <v>80</v>
      </c>
      <c r="C7" s="19" t="n">
        <v>90</v>
      </c>
      <c r="D7" s="19" t="n">
        <v>70</v>
      </c>
      <c r="E7" s="20" t="n">
        <v>100</v>
      </c>
    </row>
    <row r="8">
      <c r="A8" s="21" t="inlineStr">
        <is>
          <t>D2 (Spinach)</t>
        </is>
      </c>
      <c r="B8" s="22" t="n">
        <v>60</v>
      </c>
      <c r="C8" s="22" t="n">
        <v>80</v>
      </c>
      <c r="D8" s="22" t="n">
        <v>90</v>
      </c>
      <c r="E8" s="23" t="n">
        <v>70</v>
      </c>
    </row>
    <row r="9">
      <c r="A9" s="24" t="inlineStr">
        <is>
          <t>D3 (Chicken)</t>
        </is>
      </c>
      <c r="B9" s="25" t="n">
        <v>50</v>
      </c>
      <c r="C9" s="25" t="n">
        <v>60</v>
      </c>
      <c r="D9" s="25" t="n">
        <v>80</v>
      </c>
      <c r="E9" s="26" t="n">
        <v>90</v>
      </c>
    </row>
    <row r="10"/>
    <row r="11">
      <c r="A11" s="17" t="inlineStr">
        <is>
          <t>B. Recipes  (units of ingredient per serving)</t>
        </is>
      </c>
    </row>
    <row r="12">
      <c r="A12" s="2" t="inlineStr">
        <is>
          <t>Dish \ Ingredient</t>
        </is>
      </c>
      <c r="B12" s="3" t="inlineStr">
        <is>
          <t>Chicken Leg</t>
        </is>
      </c>
      <c r="C12" s="3" t="inlineStr">
        <is>
          <t>Tomato</t>
        </is>
      </c>
      <c r="D12" s="3" t="inlineStr">
        <is>
          <t>Egg</t>
        </is>
      </c>
      <c r="E12" s="4" t="inlineStr">
        <is>
          <t>Spinach</t>
        </is>
      </c>
    </row>
    <row r="13">
      <c r="A13" s="18" t="inlineStr">
        <is>
          <t>D1 (Tomato-Egg)</t>
        </is>
      </c>
      <c r="B13" s="19" t="n">
        <v>0</v>
      </c>
      <c r="C13" s="19" t="n">
        <v>1</v>
      </c>
      <c r="D13" s="19" t="n">
        <v>1</v>
      </c>
      <c r="E13" s="20" t="n">
        <v>0</v>
      </c>
    </row>
    <row r="14">
      <c r="A14" s="21" t="inlineStr">
        <is>
          <t>D2 (Spinach)</t>
        </is>
      </c>
      <c r="B14" s="22" t="n">
        <v>0</v>
      </c>
      <c r="C14" s="22" t="n">
        <v>0</v>
      </c>
      <c r="D14" s="22" t="n">
        <v>0</v>
      </c>
      <c r="E14" s="23" t="n">
        <v>2</v>
      </c>
    </row>
    <row r="15">
      <c r="A15" s="24" t="inlineStr">
        <is>
          <t>D3 (Chicken)</t>
        </is>
      </c>
      <c r="B15" s="25" t="n">
        <v>1</v>
      </c>
      <c r="C15" s="25" t="n">
        <v>0</v>
      </c>
      <c r="D15" s="25" t="n">
        <v>0</v>
      </c>
      <c r="E15" s="26" t="n">
        <v>0</v>
      </c>
    </row>
    <row r="16"/>
    <row r="17">
      <c r="A17" s="17" t="inlineStr">
        <is>
          <t>C. Ingredient parameters</t>
        </is>
      </c>
    </row>
    <row r="18">
      <c r="A18" s="2" t="inlineStr">
        <is>
          <t>Ingredient</t>
        </is>
      </c>
      <c r="B18" s="3" t="inlineStr">
        <is>
          <t>Regular cost cᵢ</t>
        </is>
      </c>
      <c r="C18" s="3" t="inlineStr">
        <is>
          <t>Disc. cost c̄ᵢ</t>
        </is>
      </c>
      <c r="D18" s="3" t="inlineStr">
        <is>
          <t>Min qty mᵢ</t>
        </is>
      </c>
      <c r="E18" s="3" t="inlineStr">
        <is>
          <t>Shelf life Lᵢ (wks)</t>
        </is>
      </c>
      <c r="F18" s="3" t="inlineStr">
        <is>
          <t>Holding cost hᵢ</t>
        </is>
      </c>
      <c r="G18" s="4" t="inlineStr">
        <is>
          <t>Waste cost wᵢ</t>
        </is>
      </c>
      <c r="I18" s="27" t="inlineStr">
        <is>
          <t>Discount saving %</t>
        </is>
      </c>
    </row>
    <row r="19">
      <c r="A19" s="18" t="inlineStr">
        <is>
          <t>Chicken Leg</t>
        </is>
      </c>
      <c r="B19" s="28" t="n">
        <v>5</v>
      </c>
      <c r="C19" s="28" t="n">
        <v>4.5</v>
      </c>
      <c r="D19" s="19" t="n">
        <v>100</v>
      </c>
      <c r="E19" s="19" t="n">
        <v>2</v>
      </c>
      <c r="F19" s="108" t="n">
        <v>0.18</v>
      </c>
      <c r="G19" s="29" t="n">
        <v>1</v>
      </c>
      <c r="I19" s="30" t="inlineStr">
        <is>
          <t>10.0%</t>
        </is>
      </c>
      <c r="J19" s="109" t="inlineStr">
        <is>
          <t>h adjusted: breakeven now 2.8 &lt; L=2 wks... marginal</t>
        </is>
      </c>
    </row>
    <row r="20">
      <c r="A20" s="21" t="inlineStr">
        <is>
          <t>Tomato</t>
        </is>
      </c>
      <c r="B20" s="31" t="n">
        <v>1</v>
      </c>
      <c r="C20" s="31" t="n">
        <v>0.85</v>
      </c>
      <c r="D20" s="110" t="n">
        <v>90</v>
      </c>
      <c r="E20" s="22" t="n">
        <v>1</v>
      </c>
      <c r="F20" s="31" t="n">
        <v>0.05</v>
      </c>
      <c r="G20" s="32" t="n">
        <v>0.3</v>
      </c>
      <c r="I20" s="33" t="inlineStr">
        <is>
          <t>15.0%</t>
        </is>
      </c>
      <c r="J20" s="109" t="inlineStr">
        <is>
          <t>m fixed: was 200 (&gt; M_i=100)</t>
        </is>
      </c>
    </row>
    <row r="21" ht="15.75" customHeight="1" s="64">
      <c r="A21" s="18" t="inlineStr">
        <is>
          <t>Egg</t>
        </is>
      </c>
      <c r="B21" s="28" t="n">
        <v>0.5</v>
      </c>
      <c r="C21" s="28" t="n">
        <v>0.44</v>
      </c>
      <c r="D21" s="110" t="n">
        <v>150</v>
      </c>
      <c r="E21" s="19" t="n">
        <v>2</v>
      </c>
      <c r="F21" s="28" t="n">
        <v>0.02</v>
      </c>
      <c r="G21" s="29" t="n">
        <v>0.1</v>
      </c>
      <c r="I21" s="30" t="inlineStr">
        <is>
          <t>12.0%</t>
        </is>
      </c>
      <c r="J21" s="109" t="inlineStr">
        <is>
          <t>m fixed: was 300 (&gt; M_i=170)</t>
        </is>
      </c>
    </row>
    <row r="22" ht="15.75" customHeight="1" s="64">
      <c r="A22" s="34" t="inlineStr">
        <is>
          <t>Spinach</t>
        </is>
      </c>
      <c r="B22" s="35" t="n">
        <v>0.8</v>
      </c>
      <c r="C22" s="35" t="n">
        <v>0.74</v>
      </c>
      <c r="D22" s="36" t="n">
        <v>150</v>
      </c>
      <c r="E22" s="36" t="n">
        <v>1</v>
      </c>
      <c r="F22" s="35" t="n">
        <v>0.03</v>
      </c>
      <c r="G22" s="37" t="n">
        <v>0.2</v>
      </c>
      <c r="I22" s="38" t="inlineStr">
        <is>
          <t>7.5%</t>
        </is>
      </c>
    </row>
    <row r="23" ht="15.75" customHeight="1" s="64"/>
    <row r="24" ht="90" customHeight="1" s="64">
      <c r="A24" s="17" t="inlineStr">
        <is>
          <t>D. Instance notes &amp; expected model behaviour</t>
        </is>
      </c>
    </row>
    <row r="25" ht="15.75" customHeight="1" s="64">
      <c r="A25" s="39" t="inlineStr">
        <is>
          <t>Base case reproducing the proposal example with realistic magnitudes.
• Demand is moderate and varied across weeks — discount thresholds are reachable for most ingredients.
• Chicken Leg (L=2) allows 1-week carryover; Tomato &amp; Spinach (L=1) must be bought fresh each week.
• Expected: discount activated for Egg and Chicken Leg in high-demand weeks; no carryover for L=1 items.
• Provides the reference total cost against which other instances are compared.</t>
        </is>
      </c>
    </row>
    <row r="26" ht="15.75" customHeight="1" s="64"/>
    <row r="27" ht="15.75" customHeight="1" s="64"/>
    <row r="28" ht="15.75" customHeight="1" s="64"/>
    <row r="29" ht="15.75" customHeight="1" s="64"/>
    <row r="30" ht="15.75" customHeight="1" s="64"/>
    <row r="31" ht="15.75" customHeight="1" s="64"/>
    <row r="32" ht="15.75" customHeight="1" s="64"/>
    <row r="33" ht="15.75" customHeight="1" s="64"/>
    <row r="34" ht="15.75" customHeight="1" s="64"/>
    <row r="35" ht="15.75" customHeight="1" s="64"/>
    <row r="36" ht="15.75" customHeight="1" s="64"/>
    <row r="37" ht="15.75" customHeight="1" s="64"/>
    <row r="38" ht="15.75" customHeight="1" s="64"/>
    <row r="39" ht="15.75" customHeight="1" s="64"/>
    <row r="40" ht="15.75" customHeight="1" s="64"/>
    <row r="41" ht="15.75" customHeight="1" s="64"/>
    <row r="42" ht="15.75" customHeight="1" s="64"/>
    <row r="43" ht="15.75" customHeight="1" s="64"/>
    <row r="44" ht="15.75" customHeight="1" s="64"/>
    <row r="45" ht="15.75" customHeight="1" s="64"/>
    <row r="46" ht="15.75" customHeight="1" s="64"/>
    <row r="47" ht="15.75" customHeight="1" s="64"/>
    <row r="48" ht="15.75" customHeight="1" s="64"/>
    <row r="49" ht="15.75" customHeight="1" s="64"/>
    <row r="50" ht="15.75" customHeight="1" s="64"/>
    <row r="51" ht="15.75" customHeight="1" s="64"/>
    <row r="52" ht="15.75" customHeight="1" s="64"/>
    <row r="53" ht="15.75" customHeight="1" s="64"/>
    <row r="54" ht="15.75" customHeight="1" s="64"/>
    <row r="55" ht="15.75" customHeight="1" s="64"/>
    <row r="56" ht="15.75" customHeight="1" s="64"/>
    <row r="57" ht="15.75" customHeight="1" s="64"/>
    <row r="58" ht="15.75" customHeight="1" s="64"/>
    <row r="59" ht="15.75" customHeight="1" s="64"/>
    <row r="60" ht="15.75" customHeight="1" s="64"/>
    <row r="61" ht="15.75" customHeight="1" s="64"/>
    <row r="62" ht="15.75" customHeight="1" s="64"/>
    <row r="63" ht="15.75" customHeight="1" s="64"/>
    <row r="64" ht="15.75" customHeight="1" s="64"/>
    <row r="65" ht="15.75" customHeight="1" s="64"/>
    <row r="66" ht="15.75" customHeight="1" s="64"/>
    <row r="67" ht="15.75" customHeight="1" s="64"/>
    <row r="68" ht="15.75" customHeight="1" s="64"/>
    <row r="69" ht="15.75" customHeight="1" s="64"/>
    <row r="70" ht="15.75" customHeight="1" s="64"/>
    <row r="71" ht="15.75" customHeight="1" s="64"/>
    <row r="72" ht="15.75" customHeight="1" s="64"/>
    <row r="73" ht="15.75" customHeight="1" s="64"/>
    <row r="74" ht="15.75" customHeight="1" s="64"/>
    <row r="75" ht="15.75" customHeight="1" s="64"/>
    <row r="76" ht="15.75" customHeight="1" s="64"/>
    <row r="77" ht="15.75" customHeight="1" s="64"/>
    <row r="78" ht="15.75" customHeight="1" s="64"/>
    <row r="79" ht="15.75" customHeight="1" s="64"/>
    <row r="80" ht="15.75" customHeight="1" s="64"/>
    <row r="81" ht="15.75" customHeight="1" s="64"/>
    <row r="82" ht="15.75" customHeight="1" s="64"/>
    <row r="83" ht="15.75" customHeight="1" s="64"/>
    <row r="84" ht="15.75" customHeight="1" s="64"/>
    <row r="85" ht="15.75" customHeight="1" s="64"/>
    <row r="86" ht="15.75" customHeight="1" s="64"/>
    <row r="87" ht="15.75" customHeight="1" s="64"/>
    <row r="88" ht="15.75" customHeight="1" s="64"/>
    <row r="89" ht="15.75" customHeight="1" s="64"/>
    <row r="90" ht="15.75" customHeight="1" s="64"/>
    <row r="91" ht="15.75" customHeight="1" s="64"/>
    <row r="92" ht="15.75" customHeight="1" s="64"/>
    <row r="93" ht="15.75" customHeight="1" s="64"/>
    <row r="94" ht="15.75" customHeight="1" s="64"/>
    <row r="95" ht="15.75" customHeight="1" s="64"/>
    <row r="96" ht="15.75" customHeight="1" s="64"/>
    <row r="97" ht="15.75" customHeight="1" s="64"/>
    <row r="98" ht="15.75" customHeight="1" s="64"/>
    <row r="99" ht="15.75" customHeight="1" s="64"/>
    <row r="100" ht="15.75" customHeight="1" s="64"/>
  </sheetData>
  <mergeCells count="4">
    <mergeCell ref="A1:I1"/>
    <mergeCell ref="A24:I24"/>
    <mergeCell ref="A2:I2"/>
    <mergeCell ref="A3:J3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selection activeCell="A1" sqref="A1"/>
    </sheetView>
  </sheetViews>
  <sheetFormatPr baseColWidth="8" defaultColWidth="14.43" defaultRowHeight="15" customHeight="1"/>
  <cols>
    <col width="22" customWidth="1" style="64" min="1" max="1"/>
    <col width="16" customWidth="1" style="64" min="2" max="9"/>
  </cols>
  <sheetData>
    <row r="1" ht="25.5" customHeight="1" s="64">
      <c r="A1" s="15" t="inlineStr">
        <is>
          <t>Instance 2 (No Discount)  —  Discount never activated</t>
        </is>
      </c>
    </row>
    <row r="2">
      <c r="A2" s="16" t="inlineStr">
        <is>
          <t>Design goal: Short shelf + high threshold block all discounts</t>
        </is>
      </c>
    </row>
    <row r="4">
      <c r="A4" s="17" t="inlineStr">
        <is>
          <t>A. Weekly demand  (servings per dish per week)</t>
        </is>
      </c>
    </row>
    <row r="5">
      <c r="A5" s="2" t="inlineStr">
        <is>
          <t>Dish</t>
        </is>
      </c>
      <c r="B5" s="3" t="inlineStr">
        <is>
          <t>Week 1</t>
        </is>
      </c>
      <c r="C5" s="3" t="inlineStr">
        <is>
          <t>Week 2</t>
        </is>
      </c>
      <c r="D5" s="3" t="inlineStr">
        <is>
          <t>Week 3</t>
        </is>
      </c>
      <c r="E5" s="4" t="inlineStr">
        <is>
          <t>Week 4</t>
        </is>
      </c>
    </row>
    <row r="6">
      <c r="A6" s="18" t="inlineStr">
        <is>
          <t>D1 (Tomato-Egg)</t>
        </is>
      </c>
      <c r="B6" s="19" t="n">
        <v>40</v>
      </c>
      <c r="C6" s="19" t="n">
        <v>35</v>
      </c>
      <c r="D6" s="19" t="n">
        <v>30</v>
      </c>
      <c r="E6" s="20" t="n">
        <v>40</v>
      </c>
    </row>
    <row r="7">
      <c r="A7" s="21" t="inlineStr">
        <is>
          <t>D2 (Spinach)</t>
        </is>
      </c>
      <c r="B7" s="22" t="n">
        <v>30</v>
      </c>
      <c r="C7" s="22" t="n">
        <v>25</v>
      </c>
      <c r="D7" s="22" t="n">
        <v>35</v>
      </c>
      <c r="E7" s="23" t="n">
        <v>30</v>
      </c>
    </row>
    <row r="8">
      <c r="A8" s="24" t="inlineStr">
        <is>
          <t>D3 (Chicken)</t>
        </is>
      </c>
      <c r="B8" s="25" t="n">
        <v>20</v>
      </c>
      <c r="C8" s="25" t="n">
        <v>25</v>
      </c>
      <c r="D8" s="25" t="n">
        <v>20</v>
      </c>
      <c r="E8" s="26" t="n">
        <v>25</v>
      </c>
    </row>
    <row r="10">
      <c r="A10" s="17" t="inlineStr">
        <is>
          <t>B. Recipes  (units of ingredient per serving)</t>
        </is>
      </c>
    </row>
    <row r="11">
      <c r="A11" s="2" t="inlineStr">
        <is>
          <t>Dish \ Ingredient</t>
        </is>
      </c>
      <c r="B11" s="3" t="inlineStr">
        <is>
          <t>Chicken Leg</t>
        </is>
      </c>
      <c r="C11" s="3" t="inlineStr">
        <is>
          <t>Tomato</t>
        </is>
      </c>
      <c r="D11" s="3" t="inlineStr">
        <is>
          <t>Egg</t>
        </is>
      </c>
      <c r="E11" s="4" t="inlineStr">
        <is>
          <t>Spinach</t>
        </is>
      </c>
    </row>
    <row r="12">
      <c r="A12" s="18" t="inlineStr">
        <is>
          <t>D1 (Tomato-Egg)</t>
        </is>
      </c>
      <c r="B12" s="19" t="n">
        <v>0</v>
      </c>
      <c r="C12" s="19" t="n">
        <v>1</v>
      </c>
      <c r="D12" s="19" t="n">
        <v>1</v>
      </c>
      <c r="E12" s="20" t="n">
        <v>0</v>
      </c>
    </row>
    <row r="13">
      <c r="A13" s="21" t="inlineStr">
        <is>
          <t>D2 (Spinach)</t>
        </is>
      </c>
      <c r="B13" s="22" t="n">
        <v>0</v>
      </c>
      <c r="C13" s="22" t="n">
        <v>0</v>
      </c>
      <c r="D13" s="22" t="n">
        <v>0</v>
      </c>
      <c r="E13" s="23" t="n">
        <v>2</v>
      </c>
    </row>
    <row r="14">
      <c r="A14" s="24" t="inlineStr">
        <is>
          <t>D3 (Chicken)</t>
        </is>
      </c>
      <c r="B14" s="25" t="n">
        <v>1</v>
      </c>
      <c r="C14" s="25" t="n">
        <v>0</v>
      </c>
      <c r="D14" s="25" t="n">
        <v>0</v>
      </c>
      <c r="E14" s="26" t="n">
        <v>0</v>
      </c>
    </row>
    <row r="16">
      <c r="A16" s="17" t="inlineStr">
        <is>
          <t>C. Ingredient parameters</t>
        </is>
      </c>
    </row>
    <row r="17">
      <c r="A17" s="2" t="inlineStr">
        <is>
          <t>Ingredient</t>
        </is>
      </c>
      <c r="B17" s="3" t="inlineStr">
        <is>
          <t>Regular cost cᵢ</t>
        </is>
      </c>
      <c r="C17" s="3" t="inlineStr">
        <is>
          <t>Disc. cost c̄ᵢ</t>
        </is>
      </c>
      <c r="D17" s="3" t="inlineStr">
        <is>
          <t>Min qty mᵢ</t>
        </is>
      </c>
      <c r="E17" s="3" t="inlineStr">
        <is>
          <t>Shelf life Lᵢ (wks)</t>
        </is>
      </c>
      <c r="F17" s="3" t="inlineStr">
        <is>
          <t>Holding cost hᵢ</t>
        </is>
      </c>
      <c r="G17" s="4" t="inlineStr">
        <is>
          <t>Waste cost wᵢ</t>
        </is>
      </c>
      <c r="I17" s="27" t="inlineStr">
        <is>
          <t>Discount saving %</t>
        </is>
      </c>
    </row>
    <row r="18">
      <c r="A18" s="18" t="inlineStr">
        <is>
          <t>Chicken Leg</t>
        </is>
      </c>
      <c r="B18" s="28" t="n">
        <v>5</v>
      </c>
      <c r="C18" s="28" t="n">
        <v>4.5</v>
      </c>
      <c r="D18" s="19" t="n">
        <v>200</v>
      </c>
      <c r="E18" s="19" t="n">
        <v>1</v>
      </c>
      <c r="F18" s="28" t="n">
        <v>0.2</v>
      </c>
      <c r="G18" s="29" t="n">
        <v>2.5</v>
      </c>
      <c r="I18" s="30" t="inlineStr">
        <is>
          <t>10.0%</t>
        </is>
      </c>
    </row>
    <row r="19">
      <c r="A19" s="21" t="inlineStr">
        <is>
          <t>Tomato</t>
        </is>
      </c>
      <c r="B19" s="31" t="n">
        <v>1</v>
      </c>
      <c r="C19" s="31" t="n">
        <v>0.85</v>
      </c>
      <c r="D19" s="22" t="n">
        <v>400</v>
      </c>
      <c r="E19" s="22" t="n">
        <v>1</v>
      </c>
      <c r="F19" s="31" t="n">
        <v>0.05</v>
      </c>
      <c r="G19" s="32" t="n">
        <v>0.8</v>
      </c>
      <c r="I19" s="33" t="inlineStr">
        <is>
          <t>15.0%</t>
        </is>
      </c>
    </row>
    <row r="20">
      <c r="A20" s="18" t="inlineStr">
        <is>
          <t>Egg</t>
        </is>
      </c>
      <c r="B20" s="28" t="n">
        <v>0.5</v>
      </c>
      <c r="C20" s="28" t="n">
        <v>0.44</v>
      </c>
      <c r="D20" s="19" t="n">
        <v>600</v>
      </c>
      <c r="E20" s="19" t="n">
        <v>1</v>
      </c>
      <c r="F20" s="28" t="n">
        <v>0.02</v>
      </c>
      <c r="G20" s="29" t="n">
        <v>0.4</v>
      </c>
      <c r="I20" s="30" t="inlineStr">
        <is>
          <t>12.0%</t>
        </is>
      </c>
    </row>
    <row r="21" ht="15.75" customHeight="1" s="64">
      <c r="A21" s="34" t="inlineStr">
        <is>
          <t>Spinach</t>
        </is>
      </c>
      <c r="B21" s="35" t="n">
        <v>0.8</v>
      </c>
      <c r="C21" s="35" t="n">
        <v>0.74</v>
      </c>
      <c r="D21" s="36" t="n">
        <v>300</v>
      </c>
      <c r="E21" s="36" t="n">
        <v>1</v>
      </c>
      <c r="F21" s="35" t="n">
        <v>0.03</v>
      </c>
      <c r="G21" s="37" t="n">
        <v>0.7</v>
      </c>
      <c r="I21" s="38" t="inlineStr">
        <is>
          <t>7.5%</t>
        </is>
      </c>
    </row>
    <row r="22" ht="15.75" customHeight="1" s="64"/>
    <row r="23" ht="15.75" customHeight="1" s="64">
      <c r="A23" s="17" t="inlineStr">
        <is>
          <t>D. Instance notes &amp; expected model behaviour</t>
        </is>
      </c>
    </row>
    <row r="24" ht="90" customHeight="1" s="64">
      <c r="A24" s="39" t="inlineStr">
        <is>
          <t>Discount-blocked instance: shelf life = 1 week for ALL ingredients and thresholds are 2–3× total demand.
• Total 4-week demand for Chicken Leg ≈ 90 units; discount threshold = 200 → never reachable in one week.
• High waste cost (2–5× Instance 1) makes any over-purchasing extremely penalised.
• Expected: u_i,t = 0 for all i and t (discount never activated); model buys exactly to demand each week.
• Validates that the binary discount variable correctly stays off when activation is uneconomical.</t>
        </is>
      </c>
    </row>
    <row r="25" ht="15.75" customHeight="1" s="64"/>
    <row r="26" ht="15.75" customHeight="1" s="64"/>
    <row r="27" ht="15.75" customHeight="1" s="64"/>
    <row r="28" ht="15.75" customHeight="1" s="64"/>
    <row r="29" ht="15.75" customHeight="1" s="64"/>
    <row r="30" ht="15.75" customHeight="1" s="64"/>
    <row r="31" ht="15.75" customHeight="1" s="64"/>
    <row r="32" ht="15.75" customHeight="1" s="64"/>
    <row r="33" ht="15.75" customHeight="1" s="64"/>
    <row r="34" ht="15.75" customHeight="1" s="64"/>
    <row r="35" ht="15.75" customHeight="1" s="64"/>
    <row r="36" ht="15.75" customHeight="1" s="64"/>
    <row r="37" ht="15.75" customHeight="1" s="64"/>
    <row r="38" ht="15.75" customHeight="1" s="64"/>
    <row r="39" ht="15.75" customHeight="1" s="64"/>
    <row r="40" ht="15.75" customHeight="1" s="64"/>
    <row r="41" ht="15.75" customHeight="1" s="64"/>
    <row r="42" ht="15.75" customHeight="1" s="64"/>
    <row r="43" ht="15.75" customHeight="1" s="64"/>
    <row r="44" ht="15.75" customHeight="1" s="64"/>
    <row r="45" ht="15.75" customHeight="1" s="64"/>
    <row r="46" ht="15.75" customHeight="1" s="64"/>
    <row r="47" ht="15.75" customHeight="1" s="64"/>
    <row r="48" ht="15.75" customHeight="1" s="64"/>
    <row r="49" ht="15.75" customHeight="1" s="64"/>
    <row r="50" ht="15.75" customHeight="1" s="64"/>
    <row r="51" ht="15.75" customHeight="1" s="64"/>
    <row r="52" ht="15.75" customHeight="1" s="64"/>
    <row r="53" ht="15.75" customHeight="1" s="64"/>
    <row r="54" ht="15.75" customHeight="1" s="64"/>
    <row r="55" ht="15.75" customHeight="1" s="64"/>
    <row r="56" ht="15.75" customHeight="1" s="64"/>
    <row r="57" ht="15.75" customHeight="1" s="64"/>
    <row r="58" ht="15.75" customHeight="1" s="64"/>
    <row r="59" ht="15.75" customHeight="1" s="64"/>
    <row r="60" ht="15.75" customHeight="1" s="64"/>
    <row r="61" ht="15.75" customHeight="1" s="64"/>
    <row r="62" ht="15.75" customHeight="1" s="64"/>
    <row r="63" ht="15.75" customHeight="1" s="64"/>
    <row r="64" ht="15.75" customHeight="1" s="64"/>
    <row r="65" ht="15.75" customHeight="1" s="64"/>
    <row r="66" ht="15.75" customHeight="1" s="64"/>
    <row r="67" ht="15.75" customHeight="1" s="64"/>
    <row r="68" ht="15.75" customHeight="1" s="64"/>
    <row r="69" ht="15.75" customHeight="1" s="64"/>
    <row r="70" ht="15.75" customHeight="1" s="64"/>
    <row r="71" ht="15.75" customHeight="1" s="64"/>
    <row r="72" ht="15.75" customHeight="1" s="64"/>
    <row r="73" ht="15.75" customHeight="1" s="64"/>
    <row r="74" ht="15.75" customHeight="1" s="64"/>
    <row r="75" ht="15.75" customHeight="1" s="64"/>
    <row r="76" ht="15.75" customHeight="1" s="64"/>
    <row r="77" ht="15.75" customHeight="1" s="64"/>
    <row r="78" ht="15.75" customHeight="1" s="64"/>
    <row r="79" ht="15.75" customHeight="1" s="64"/>
    <row r="80" ht="15.75" customHeight="1" s="64"/>
    <row r="81" ht="15.75" customHeight="1" s="64"/>
    <row r="82" ht="15.75" customHeight="1" s="64"/>
    <row r="83" ht="15.75" customHeight="1" s="64"/>
    <row r="84" ht="15.75" customHeight="1" s="64"/>
    <row r="85" ht="15.75" customHeight="1" s="64"/>
    <row r="86" ht="15.75" customHeight="1" s="64"/>
    <row r="87" ht="15.75" customHeight="1" s="64"/>
    <row r="88" ht="15.75" customHeight="1" s="64"/>
    <row r="89" ht="15.75" customHeight="1" s="64"/>
    <row r="90" ht="15.75" customHeight="1" s="64"/>
    <row r="91" ht="15.75" customHeight="1" s="64"/>
    <row r="92" ht="15.75" customHeight="1" s="64"/>
    <row r="93" ht="15.75" customHeight="1" s="64"/>
    <row r="94" ht="15.75" customHeight="1" s="64"/>
    <row r="95" ht="15.75" customHeight="1" s="64"/>
    <row r="96" ht="15.75" customHeight="1" s="64"/>
    <row r="97" ht="15.75" customHeight="1" s="64"/>
    <row r="98" ht="15.75" customHeight="1" s="64"/>
    <row r="99" ht="15.75" customHeight="1" s="64"/>
    <row r="100" ht="15.75" customHeight="1" s="64"/>
  </sheetData>
  <mergeCells count="3">
    <mergeCell ref="A1:I1"/>
    <mergeCell ref="A24:I24"/>
    <mergeCell ref="A2:I2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selection activeCell="A1" sqref="A1"/>
    </sheetView>
  </sheetViews>
  <sheetFormatPr baseColWidth="8" defaultColWidth="14.43" defaultRowHeight="15" customHeight="1"/>
  <cols>
    <col width="22" customWidth="1" style="64" min="1" max="1"/>
    <col width="16" customWidth="1" style="64" min="2" max="9"/>
    <col width="36" customWidth="1" style="64" min="10" max="10"/>
  </cols>
  <sheetData>
    <row r="1" ht="25.5" customHeight="1" s="64">
      <c r="A1" s="15" t="inlineStr">
        <is>
          <t>Instance 3 (Carryover)  —  Bulk-buy + carryover dominates</t>
        </is>
      </c>
    </row>
    <row r="2">
      <c r="A2" s="16" t="inlineStr">
        <is>
          <t>Design goal: Long shelf &amp; low holding reward advance purchasing</t>
        </is>
      </c>
    </row>
    <row r="3" ht="18" customHeight="1" s="64">
      <c r="A3" s="107" t="inlineStr">
        <is>
          <t>🔵 Blue-shaded cells = corrected values (see Diagnostic Report sheet for reasons)</t>
        </is>
      </c>
    </row>
    <row r="4"/>
    <row r="5">
      <c r="A5" s="17" t="inlineStr">
        <is>
          <t>A. Weekly demand  (servings per dish per week)</t>
        </is>
      </c>
    </row>
    <row r="6">
      <c r="A6" s="2" t="inlineStr">
        <is>
          <t>Dish</t>
        </is>
      </c>
      <c r="B6" s="3" t="inlineStr">
        <is>
          <t>Week 1</t>
        </is>
      </c>
      <c r="C6" s="3" t="inlineStr">
        <is>
          <t>Week 2</t>
        </is>
      </c>
      <c r="D6" s="3" t="inlineStr">
        <is>
          <t>Week 3</t>
        </is>
      </c>
      <c r="E6" s="4" t="inlineStr">
        <is>
          <t>Week 4</t>
        </is>
      </c>
    </row>
    <row r="7">
      <c r="A7" s="18" t="inlineStr">
        <is>
          <t>D1 (Tomato-Egg)</t>
        </is>
      </c>
      <c r="B7" s="19" t="n">
        <v>20</v>
      </c>
      <c r="C7" s="19" t="n">
        <v>120</v>
      </c>
      <c r="D7" s="19" t="n">
        <v>20</v>
      </c>
      <c r="E7" s="20" t="n">
        <v>120</v>
      </c>
    </row>
    <row r="8">
      <c r="A8" s="21" t="inlineStr">
        <is>
          <t>D2 (Spinach)</t>
        </is>
      </c>
      <c r="B8" s="22" t="n">
        <v>10</v>
      </c>
      <c r="C8" s="22" t="n">
        <v>80</v>
      </c>
      <c r="D8" s="22" t="n">
        <v>10</v>
      </c>
      <c r="E8" s="23" t="n">
        <v>80</v>
      </c>
    </row>
    <row r="9">
      <c r="A9" s="24" t="inlineStr">
        <is>
          <t>D3 (Chicken)</t>
        </is>
      </c>
      <c r="B9" s="25" t="n">
        <v>15</v>
      </c>
      <c r="C9" s="25" t="n">
        <v>90</v>
      </c>
      <c r="D9" s="25" t="n">
        <v>15</v>
      </c>
      <c r="E9" s="26" t="n">
        <v>90</v>
      </c>
    </row>
    <row r="10"/>
    <row r="11">
      <c r="A11" s="17" t="inlineStr">
        <is>
          <t>B. Recipes  (units of ingredient per serving)</t>
        </is>
      </c>
    </row>
    <row r="12">
      <c r="A12" s="2" t="inlineStr">
        <is>
          <t>Dish \ Ingredient</t>
        </is>
      </c>
      <c r="B12" s="3" t="inlineStr">
        <is>
          <t>Chicken Leg</t>
        </is>
      </c>
      <c r="C12" s="3" t="inlineStr">
        <is>
          <t>Tomato</t>
        </is>
      </c>
      <c r="D12" s="3" t="inlineStr">
        <is>
          <t>Egg</t>
        </is>
      </c>
      <c r="E12" s="4" t="inlineStr">
        <is>
          <t>Spinach</t>
        </is>
      </c>
    </row>
    <row r="13">
      <c r="A13" s="18" t="inlineStr">
        <is>
          <t>D1 (Tomato-Egg)</t>
        </is>
      </c>
      <c r="B13" s="19" t="n">
        <v>0</v>
      </c>
      <c r="C13" s="19" t="n">
        <v>1</v>
      </c>
      <c r="D13" s="19" t="n">
        <v>1</v>
      </c>
      <c r="E13" s="20" t="n">
        <v>0</v>
      </c>
    </row>
    <row r="14">
      <c r="A14" s="21" t="inlineStr">
        <is>
          <t>D2 (Spinach)</t>
        </is>
      </c>
      <c r="B14" s="22" t="n">
        <v>0</v>
      </c>
      <c r="C14" s="22" t="n">
        <v>0</v>
      </c>
      <c r="D14" s="22" t="n">
        <v>0</v>
      </c>
      <c r="E14" s="23" t="n">
        <v>2</v>
      </c>
    </row>
    <row r="15">
      <c r="A15" s="24" t="inlineStr">
        <is>
          <t>D3 (Chicken)</t>
        </is>
      </c>
      <c r="B15" s="25" t="n">
        <v>1</v>
      </c>
      <c r="C15" s="25" t="n">
        <v>0</v>
      </c>
      <c r="D15" s="25" t="n">
        <v>0</v>
      </c>
      <c r="E15" s="26" t="n">
        <v>0</v>
      </c>
    </row>
    <row r="16"/>
    <row r="17">
      <c r="A17" s="17" t="inlineStr">
        <is>
          <t>C. Ingredient parameters</t>
        </is>
      </c>
    </row>
    <row r="18">
      <c r="A18" s="2" t="inlineStr">
        <is>
          <t>Ingredient</t>
        </is>
      </c>
      <c r="B18" s="3" t="inlineStr">
        <is>
          <t>Regular cost cᵢ</t>
        </is>
      </c>
      <c r="C18" s="3" t="inlineStr">
        <is>
          <t>Disc. cost c̄ᵢ</t>
        </is>
      </c>
      <c r="D18" s="3" t="inlineStr">
        <is>
          <t>Min qty mᵢ</t>
        </is>
      </c>
      <c r="E18" s="3" t="inlineStr">
        <is>
          <t>Shelf life Lᵢ (wks)</t>
        </is>
      </c>
      <c r="F18" s="3" t="inlineStr">
        <is>
          <t>Holding cost hᵢ</t>
        </is>
      </c>
      <c r="G18" s="4" t="inlineStr">
        <is>
          <t>Waste cost wᵢ</t>
        </is>
      </c>
      <c r="I18" s="27" t="inlineStr">
        <is>
          <t>Discount saving %</t>
        </is>
      </c>
    </row>
    <row r="19">
      <c r="A19" s="18" t="inlineStr">
        <is>
          <t>Chicken Leg</t>
        </is>
      </c>
      <c r="B19" s="28" t="n">
        <v>5</v>
      </c>
      <c r="C19" s="28" t="n">
        <v>3.5</v>
      </c>
      <c r="D19" s="19" t="n">
        <v>100</v>
      </c>
      <c r="E19" s="19" t="n">
        <v>3</v>
      </c>
      <c r="F19" s="108" t="n">
        <v>0.55</v>
      </c>
      <c r="G19" s="29" t="n">
        <v>0.5</v>
      </c>
      <c r="I19" s="30" t="inlineStr">
        <is>
          <t>30.0%</t>
        </is>
      </c>
      <c r="J19" s="109" t="inlineStr">
        <is>
          <t>h raised: was 0.05 (breakeven=30wks &gt;&gt; L=3)</t>
        </is>
      </c>
    </row>
    <row r="20">
      <c r="A20" s="21" t="inlineStr">
        <is>
          <t>Tomato</t>
        </is>
      </c>
      <c r="B20" s="31" t="n">
        <v>1</v>
      </c>
      <c r="C20" s="31" t="n">
        <v>0.7</v>
      </c>
      <c r="D20" s="22" t="n">
        <v>100</v>
      </c>
      <c r="E20" s="22" t="n">
        <v>2</v>
      </c>
      <c r="F20" s="108" t="n">
        <v>0.2</v>
      </c>
      <c r="G20" s="32" t="n">
        <v>0.15</v>
      </c>
      <c r="I20" s="33" t="inlineStr">
        <is>
          <t>30.0%</t>
        </is>
      </c>
      <c r="J20" s="109" t="inlineStr">
        <is>
          <t>h raised: was 0.02 (breakeven=15wks &gt;&gt; L=2)</t>
        </is>
      </c>
    </row>
    <row r="21" ht="15.75" customHeight="1" s="64">
      <c r="A21" s="18" t="inlineStr">
        <is>
          <t>Egg</t>
        </is>
      </c>
      <c r="B21" s="28" t="n">
        <v>0.5</v>
      </c>
      <c r="C21" s="28" t="n">
        <v>0.35</v>
      </c>
      <c r="D21" s="19" t="n">
        <v>150</v>
      </c>
      <c r="E21" s="19" t="n">
        <v>3</v>
      </c>
      <c r="F21" s="108" t="n">
        <v>0.1</v>
      </c>
      <c r="G21" s="29" t="n">
        <v>0.05</v>
      </c>
      <c r="I21" s="30" t="inlineStr">
        <is>
          <t>30.0%</t>
        </is>
      </c>
      <c r="J21" s="109" t="inlineStr">
        <is>
          <t>h raised: was 0.01 (breakeven=15wks &gt;&gt; L=3)</t>
        </is>
      </c>
    </row>
    <row r="22" ht="15.75" customHeight="1" s="64">
      <c r="A22" s="34" t="inlineStr">
        <is>
          <t>Spinach</t>
        </is>
      </c>
      <c r="B22" s="35" t="n">
        <v>0.8</v>
      </c>
      <c r="C22" s="35" t="n">
        <v>0.55</v>
      </c>
      <c r="D22" s="36" t="n">
        <v>80</v>
      </c>
      <c r="E22" s="36" t="n">
        <v>2</v>
      </c>
      <c r="F22" s="111" t="n">
        <v>0.18</v>
      </c>
      <c r="G22" s="37" t="n">
        <v>0.1</v>
      </c>
      <c r="I22" s="33" t="inlineStr">
        <is>
          <t>31.2%</t>
        </is>
      </c>
      <c r="J22" s="109" t="inlineStr">
        <is>
          <t>h raised: was 0.02 (breakeven=12.5wks &gt;&gt; L=2)</t>
        </is>
      </c>
    </row>
    <row r="23" ht="15.75" customHeight="1" s="64"/>
    <row r="24" ht="105" customHeight="1" s="64">
      <c r="A24" s="17" t="inlineStr">
        <is>
          <t>D. Instance notes &amp; expected model behaviour</t>
        </is>
      </c>
    </row>
    <row r="25" ht="15.75" customHeight="1" s="64">
      <c r="A25" s="39" t="inlineStr">
        <is>
          <t>Carryover-dominant instance: long shelf lives (L=2–3) and very low holding costs.
• Demand is deliberately spiky (low–high–low–high) so buying ahead in week 1 for week 2 is cheaper.
• Discount thresholds are modest (80–150 units) and savings are large (30–40%).
• Expected: model bulk-purchases in week 1 (or 3) to cover week 2 (or 4) demand using carryover inventory.
• Discount activated in nearly every week; waste near zero since shelf life accommodates the strategy.
• Validates age-indexed inventory tracking and cross-period inventory balance constraints.</t>
        </is>
      </c>
    </row>
    <row r="26" ht="15.75" customHeight="1" s="64"/>
    <row r="27" ht="15.75" customHeight="1" s="64"/>
    <row r="28" ht="15.75" customHeight="1" s="64"/>
    <row r="29" ht="15.75" customHeight="1" s="64"/>
    <row r="30" ht="15.75" customHeight="1" s="64"/>
    <row r="31" ht="15.75" customHeight="1" s="64"/>
    <row r="32" ht="15.75" customHeight="1" s="64"/>
    <row r="33" ht="15.75" customHeight="1" s="64"/>
    <row r="34" ht="15.75" customHeight="1" s="64"/>
    <row r="35" ht="15.75" customHeight="1" s="64"/>
    <row r="36" ht="15.75" customHeight="1" s="64"/>
    <row r="37" ht="15.75" customHeight="1" s="64"/>
    <row r="38" ht="15.75" customHeight="1" s="64"/>
    <row r="39" ht="15.75" customHeight="1" s="64"/>
    <row r="40" ht="15.75" customHeight="1" s="64"/>
    <row r="41" ht="15.75" customHeight="1" s="64"/>
    <row r="42" ht="15.75" customHeight="1" s="64"/>
    <row r="43" ht="15.75" customHeight="1" s="64"/>
    <row r="44" ht="15.75" customHeight="1" s="64"/>
    <row r="45" ht="15.75" customHeight="1" s="64"/>
    <row r="46" ht="15.75" customHeight="1" s="64"/>
    <row r="47" ht="15.75" customHeight="1" s="64"/>
    <row r="48" ht="15.75" customHeight="1" s="64"/>
    <row r="49" ht="15.75" customHeight="1" s="64"/>
    <row r="50" ht="15.75" customHeight="1" s="64"/>
    <row r="51" ht="15.75" customHeight="1" s="64"/>
    <row r="52" ht="15.75" customHeight="1" s="64"/>
    <row r="53" ht="15.75" customHeight="1" s="64"/>
    <row r="54" ht="15.75" customHeight="1" s="64"/>
    <row r="55" ht="15.75" customHeight="1" s="64"/>
    <row r="56" ht="15.75" customHeight="1" s="64"/>
    <row r="57" ht="15.75" customHeight="1" s="64"/>
    <row r="58" ht="15.75" customHeight="1" s="64"/>
    <row r="59" ht="15.75" customHeight="1" s="64"/>
    <row r="60" ht="15.75" customHeight="1" s="64"/>
    <row r="61" ht="15.75" customHeight="1" s="64"/>
    <row r="62" ht="15.75" customHeight="1" s="64"/>
    <row r="63" ht="15.75" customHeight="1" s="64"/>
    <row r="64" ht="15.75" customHeight="1" s="64"/>
    <row r="65" ht="15.75" customHeight="1" s="64"/>
    <row r="66" ht="15.75" customHeight="1" s="64"/>
    <row r="67" ht="15.75" customHeight="1" s="64"/>
    <row r="68" ht="15.75" customHeight="1" s="64"/>
    <row r="69" ht="15.75" customHeight="1" s="64"/>
    <row r="70" ht="15.75" customHeight="1" s="64"/>
    <row r="71" ht="15.75" customHeight="1" s="64"/>
    <row r="72" ht="15.75" customHeight="1" s="64"/>
    <row r="73" ht="15.75" customHeight="1" s="64"/>
    <row r="74" ht="15.75" customHeight="1" s="64"/>
    <row r="75" ht="15.75" customHeight="1" s="64"/>
    <row r="76" ht="15.75" customHeight="1" s="64"/>
    <row r="77" ht="15.75" customHeight="1" s="64"/>
    <row r="78" ht="15.75" customHeight="1" s="64"/>
    <row r="79" ht="15.75" customHeight="1" s="64"/>
    <row r="80" ht="15.75" customHeight="1" s="64"/>
    <row r="81" ht="15.75" customHeight="1" s="64"/>
    <row r="82" ht="15.75" customHeight="1" s="64"/>
    <row r="83" ht="15.75" customHeight="1" s="64"/>
    <row r="84" ht="15.75" customHeight="1" s="64"/>
    <row r="85" ht="15.75" customHeight="1" s="64"/>
    <row r="86" ht="15.75" customHeight="1" s="64"/>
    <row r="87" ht="15.75" customHeight="1" s="64"/>
    <row r="88" ht="15.75" customHeight="1" s="64"/>
    <row r="89" ht="15.75" customHeight="1" s="64"/>
    <row r="90" ht="15.75" customHeight="1" s="64"/>
    <row r="91" ht="15.75" customHeight="1" s="64"/>
    <row r="92" ht="15.75" customHeight="1" s="64"/>
    <row r="93" ht="15.75" customHeight="1" s="64"/>
    <row r="94" ht="15.75" customHeight="1" s="64"/>
    <row r="95" ht="15.75" customHeight="1" s="64"/>
    <row r="96" ht="15.75" customHeight="1" s="64"/>
    <row r="97" ht="15.75" customHeight="1" s="64"/>
    <row r="98" ht="15.75" customHeight="1" s="64"/>
    <row r="99" ht="15.75" customHeight="1" s="64"/>
    <row r="100" ht="15.75" customHeight="1" s="64"/>
  </sheetData>
  <mergeCells count="4">
    <mergeCell ref="A1:I1"/>
    <mergeCell ref="A24:I24"/>
    <mergeCell ref="A2:I2"/>
    <mergeCell ref="A3:J3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selection activeCell="A1" sqref="A1"/>
    </sheetView>
  </sheetViews>
  <sheetFormatPr baseColWidth="8" defaultColWidth="14.43" defaultRowHeight="15" customHeight="1"/>
  <cols>
    <col width="22" customWidth="1" style="64" min="1" max="1"/>
    <col width="16" customWidth="1" style="64" min="2" max="3"/>
    <col width="28" customWidth="1" style="64" min="4" max="4"/>
    <col width="42" customWidth="1" style="64" min="5" max="5"/>
    <col width="16" customWidth="1" style="64" min="6" max="9"/>
    <col width="36" customWidth="1" style="64" min="10" max="10"/>
  </cols>
  <sheetData>
    <row r="1" ht="25.5" customHeight="1" s="64">
      <c r="A1" s="15" t="inlineStr">
        <is>
          <t>Instance 4 (Sensitivity)  —  Sensitivity analysis</t>
        </is>
      </c>
    </row>
    <row r="2">
      <c r="A2" s="16" t="inlineStr">
        <is>
          <t>Design goal: Flat demand isolates cost-parameter effects</t>
        </is>
      </c>
    </row>
    <row r="3" ht="18" customHeight="1" s="64">
      <c r="A3" s="107" t="inlineStr">
        <is>
          <t>🔵 Blue-shaded cells = corrected values (see Diagnostic Report sheet for reasons)</t>
        </is>
      </c>
    </row>
    <row r="4"/>
    <row r="5">
      <c r="A5" s="17" t="inlineStr">
        <is>
          <t>A. Weekly demand  (servings per dish per week)</t>
        </is>
      </c>
    </row>
    <row r="6">
      <c r="A6" s="2" t="inlineStr">
        <is>
          <t>Dish</t>
        </is>
      </c>
      <c r="B6" s="3" t="inlineStr">
        <is>
          <t>Week 1</t>
        </is>
      </c>
      <c r="C6" s="3" t="inlineStr">
        <is>
          <t>Week 2</t>
        </is>
      </c>
      <c r="D6" s="3" t="inlineStr">
        <is>
          <t>Week 3</t>
        </is>
      </c>
      <c r="E6" s="4" t="inlineStr">
        <is>
          <t>Week 4</t>
        </is>
      </c>
    </row>
    <row r="7">
      <c r="A7" s="18" t="inlineStr">
        <is>
          <t>D1 (Tomato-Egg)</t>
        </is>
      </c>
      <c r="B7" s="19" t="n">
        <v>70</v>
      </c>
      <c r="C7" s="19" t="n">
        <v>70</v>
      </c>
      <c r="D7" s="19" t="n">
        <v>70</v>
      </c>
      <c r="E7" s="20" t="n">
        <v>70</v>
      </c>
    </row>
    <row r="8">
      <c r="A8" s="21" t="inlineStr">
        <is>
          <t>D2 (Spinach)</t>
        </is>
      </c>
      <c r="B8" s="22" t="n">
        <v>50</v>
      </c>
      <c r="C8" s="22" t="n">
        <v>50</v>
      </c>
      <c r="D8" s="22" t="n">
        <v>50</v>
      </c>
      <c r="E8" s="23" t="n">
        <v>50</v>
      </c>
    </row>
    <row r="9">
      <c r="A9" s="24" t="inlineStr">
        <is>
          <t>D3 (Chicken)</t>
        </is>
      </c>
      <c r="B9" s="25" t="n">
        <v>60</v>
      </c>
      <c r="C9" s="25" t="n">
        <v>60</v>
      </c>
      <c r="D9" s="25" t="n">
        <v>60</v>
      </c>
      <c r="E9" s="26" t="n">
        <v>60</v>
      </c>
    </row>
    <row r="10"/>
    <row r="11">
      <c r="A11" s="17" t="inlineStr">
        <is>
          <t>B. Recipes  (units of ingredient per serving)</t>
        </is>
      </c>
    </row>
    <row r="12">
      <c r="A12" s="2" t="inlineStr">
        <is>
          <t>Dish \ Ingredient</t>
        </is>
      </c>
      <c r="B12" s="3" t="inlineStr">
        <is>
          <t>Chicken Leg</t>
        </is>
      </c>
      <c r="C12" s="3" t="inlineStr">
        <is>
          <t>Tomato</t>
        </is>
      </c>
      <c r="D12" s="3" t="inlineStr">
        <is>
          <t>Egg</t>
        </is>
      </c>
      <c r="E12" s="4" t="inlineStr">
        <is>
          <t>Spinach</t>
        </is>
      </c>
    </row>
    <row r="13">
      <c r="A13" s="18" t="inlineStr">
        <is>
          <t>D1 (Tomato-Egg)</t>
        </is>
      </c>
      <c r="B13" s="19" t="n">
        <v>0</v>
      </c>
      <c r="C13" s="19" t="n">
        <v>1</v>
      </c>
      <c r="D13" s="19" t="n">
        <v>1</v>
      </c>
      <c r="E13" s="20" t="n">
        <v>0</v>
      </c>
    </row>
    <row r="14">
      <c r="A14" s="21" t="inlineStr">
        <is>
          <t>D2 (Spinach)</t>
        </is>
      </c>
      <c r="B14" s="22" t="n">
        <v>0</v>
      </c>
      <c r="C14" s="22" t="n">
        <v>0</v>
      </c>
      <c r="D14" s="22" t="n">
        <v>0</v>
      </c>
      <c r="E14" s="23" t="n">
        <v>2</v>
      </c>
    </row>
    <row r="15">
      <c r="A15" s="24" t="inlineStr">
        <is>
          <t>D3 (Chicken)</t>
        </is>
      </c>
      <c r="B15" s="25" t="n">
        <v>1</v>
      </c>
      <c r="C15" s="25" t="n">
        <v>0</v>
      </c>
      <c r="D15" s="25" t="n">
        <v>0</v>
      </c>
      <c r="E15" s="26" t="n">
        <v>0</v>
      </c>
    </row>
    <row r="16"/>
    <row r="17">
      <c r="A17" s="17" t="inlineStr">
        <is>
          <t>C. Ingredient parameters</t>
        </is>
      </c>
    </row>
    <row r="18">
      <c r="A18" s="2" t="inlineStr">
        <is>
          <t>Ingredient</t>
        </is>
      </c>
      <c r="B18" s="3" t="inlineStr">
        <is>
          <t>Regular cost cᵢ</t>
        </is>
      </c>
      <c r="C18" s="3" t="inlineStr">
        <is>
          <t>Disc. cost c̄ᵢ</t>
        </is>
      </c>
      <c r="D18" s="3" t="inlineStr">
        <is>
          <t>Min qty mᵢ</t>
        </is>
      </c>
      <c r="E18" s="3" t="inlineStr">
        <is>
          <t>Shelf life Lᵢ (wks)</t>
        </is>
      </c>
      <c r="F18" s="3" t="inlineStr">
        <is>
          <t>Holding cost hᵢ</t>
        </is>
      </c>
      <c r="G18" s="4" t="inlineStr">
        <is>
          <t>Waste cost wᵢ</t>
        </is>
      </c>
      <c r="I18" s="27" t="inlineStr">
        <is>
          <t>Discount saving %</t>
        </is>
      </c>
    </row>
    <row r="19">
      <c r="A19" s="18" t="inlineStr">
        <is>
          <t>Chicken Leg</t>
        </is>
      </c>
      <c r="B19" s="28" t="n">
        <v>5</v>
      </c>
      <c r="C19" s="28" t="n">
        <v>4.5</v>
      </c>
      <c r="D19" s="19" t="n">
        <v>100</v>
      </c>
      <c r="E19" s="19" t="n">
        <v>2</v>
      </c>
      <c r="F19" s="28" t="n">
        <v>0.2</v>
      </c>
      <c r="G19" s="29" t="n">
        <v>1</v>
      </c>
      <c r="I19" s="30" t="inlineStr">
        <is>
          <t>10.0%</t>
        </is>
      </c>
    </row>
    <row r="20">
      <c r="A20" s="21" t="inlineStr">
        <is>
          <t>Tomato</t>
        </is>
      </c>
      <c r="B20" s="31" t="n">
        <v>1</v>
      </c>
      <c r="C20" s="31" t="n">
        <v>0.85</v>
      </c>
      <c r="D20" s="110" t="n">
        <v>65</v>
      </c>
      <c r="E20" s="22" t="n">
        <v>1</v>
      </c>
      <c r="F20" s="31" t="n">
        <v>0.05</v>
      </c>
      <c r="G20" s="32" t="n">
        <v>0.3</v>
      </c>
      <c r="I20" s="33" t="inlineStr">
        <is>
          <t>15.0%</t>
        </is>
      </c>
      <c r="J20" s="109" t="inlineStr">
        <is>
          <t>m fixed: was 200 (&gt; M_i=70); sensitivity still meaningful</t>
        </is>
      </c>
    </row>
    <row r="21" ht="15.75" customHeight="1" s="64">
      <c r="A21" s="18" t="inlineStr">
        <is>
          <t>Egg</t>
        </is>
      </c>
      <c r="B21" s="28" t="n">
        <v>0.5</v>
      </c>
      <c r="C21" s="28" t="n">
        <v>0.44</v>
      </c>
      <c r="D21" s="110" t="n">
        <v>130</v>
      </c>
      <c r="E21" s="19" t="n">
        <v>2</v>
      </c>
      <c r="F21" s="28" t="n">
        <v>0.02</v>
      </c>
      <c r="G21" s="29" t="n">
        <v>0.1</v>
      </c>
      <c r="I21" s="30" t="inlineStr">
        <is>
          <t>12.0%</t>
        </is>
      </c>
      <c r="J21" s="109" t="inlineStr">
        <is>
          <t>m fixed: was 300 (&gt; M_i=140)</t>
        </is>
      </c>
    </row>
    <row r="22" ht="15.75" customHeight="1" s="64">
      <c r="A22" s="34" t="inlineStr">
        <is>
          <t>Spinach</t>
        </is>
      </c>
      <c r="B22" s="35" t="n">
        <v>0.8</v>
      </c>
      <c r="C22" s="35" t="n">
        <v>0.74</v>
      </c>
      <c r="D22" s="112" t="n">
        <v>95</v>
      </c>
      <c r="E22" s="36" t="n">
        <v>1</v>
      </c>
      <c r="F22" s="35" t="n">
        <v>0.03</v>
      </c>
      <c r="G22" s="37" t="n">
        <v>0.2</v>
      </c>
      <c r="I22" s="38" t="inlineStr">
        <is>
          <t>7.5%</t>
        </is>
      </c>
      <c r="J22" s="109" t="inlineStr">
        <is>
          <t>m fixed: was 150 (&gt; M_i=100)</t>
        </is>
      </c>
    </row>
    <row r="23" ht="15.75" customHeight="1" s="64"/>
    <row r="24" ht="105" customHeight="1" s="64">
      <c r="A24" s="17" t="inlineStr">
        <is>
          <t>D. Instance notes &amp; expected model behaviour</t>
        </is>
      </c>
    </row>
    <row r="25" ht="15.75" customHeight="1" s="64">
      <c r="A25" s="39" t="inlineStr">
        <is>
          <t>Base parameters (same as Instance 1 structure) with FLAT demand (70/50/60 servings/week every week).
Sensitivity experiments to run by re-solving the model with each scenario below:
• Vary w_i (waste cost): ×0.5, ×1 (base), ×2, ×5 → observe at what w_i the model stops discounting.
• Vary h_i (holding cost): ×0.5, ×1, ×2, ×5 → observe when carryover disappears.
• Vary m_i (discount threshold): ×0.5, ×1, ×2 → find the tipping point where discount is no longer activated.
• Flat demand ensures total cost differences are attributable solely to cost-parameter changes, not demand variation.</t>
        </is>
      </c>
    </row>
    <row r="26" ht="15.75" customHeight="1" s="64"/>
    <row r="27" ht="15.75" customHeight="1" s="64">
      <c r="A27" s="17" t="inlineStr">
        <is>
          <t>E. Sensitivity scenarios (re-solve model for each row)</t>
        </is>
      </c>
    </row>
    <row r="28" ht="15.75" customHeight="1" s="64">
      <c r="A28" s="2" t="inlineStr">
        <is>
          <t>Scenario</t>
        </is>
      </c>
      <c r="B28" s="3" t="inlineStr">
        <is>
          <t>Parameter</t>
        </is>
      </c>
      <c r="C28" s="3" t="inlineStr">
        <is>
          <t>Multiplier</t>
        </is>
      </c>
      <c r="D28" s="3" t="inlineStr">
        <is>
          <t>New value (Chicken Leg example)</t>
        </is>
      </c>
      <c r="E28" s="4" t="inlineStr">
        <is>
          <t>Expected effect</t>
        </is>
      </c>
    </row>
    <row r="29" ht="15.75" customHeight="1" s="64">
      <c r="A29" s="40" t="inlineStr">
        <is>
          <t>S1</t>
        </is>
      </c>
      <c r="B29" s="41" t="inlineStr">
        <is>
          <t>w_i (waste cost)</t>
        </is>
      </c>
      <c r="C29" s="41" t="inlineStr">
        <is>
          <t>×0.5</t>
        </is>
      </c>
      <c r="D29" s="42" t="inlineStr">
        <is>
          <t>0.50  $/unit</t>
        </is>
      </c>
      <c r="E29" s="43" t="inlineStr">
        <is>
          <t>Less penalty → mild over-purchase tolerated</t>
        </is>
      </c>
    </row>
    <row r="30" ht="15.75" customHeight="1" s="64">
      <c r="A30" s="44" t="inlineStr">
        <is>
          <t>S2</t>
        </is>
      </c>
      <c r="B30" s="45" t="inlineStr">
        <is>
          <t>w_i (waste cost)</t>
        </is>
      </c>
      <c r="C30" s="45" t="inlineStr">
        <is>
          <t>×1 (base)</t>
        </is>
      </c>
      <c r="D30" s="46" t="inlineStr">
        <is>
          <t>1.00  $/unit</t>
        </is>
      </c>
      <c r="E30" s="47" t="inlineStr">
        <is>
          <t>Reference point</t>
        </is>
      </c>
    </row>
    <row r="31" ht="15.75" customHeight="1" s="64">
      <c r="A31" s="40" t="inlineStr">
        <is>
          <t>S3</t>
        </is>
      </c>
      <c r="B31" s="41" t="inlineStr">
        <is>
          <t>w_i (waste cost)</t>
        </is>
      </c>
      <c r="C31" s="41" t="inlineStr">
        <is>
          <t>×2</t>
        </is>
      </c>
      <c r="D31" s="42" t="inlineStr">
        <is>
          <t>2.00  $/unit</t>
        </is>
      </c>
      <c r="E31" s="43" t="inlineStr">
        <is>
          <t>Discount use drops; buy closer to demand</t>
        </is>
      </c>
    </row>
    <row r="32" ht="15.75" customHeight="1" s="64">
      <c r="A32" s="44" t="inlineStr">
        <is>
          <t>S4</t>
        </is>
      </c>
      <c r="B32" s="45" t="inlineStr">
        <is>
          <t>w_i (waste cost)</t>
        </is>
      </c>
      <c r="C32" s="45" t="inlineStr">
        <is>
          <t>×5</t>
        </is>
      </c>
      <c r="D32" s="46" t="inlineStr">
        <is>
          <t>5.00  $/unit</t>
        </is>
      </c>
      <c r="E32" s="47" t="inlineStr">
        <is>
          <t>Discount never activated; buy-to-demand</t>
        </is>
      </c>
    </row>
    <row r="33" ht="15.75" customHeight="1" s="64">
      <c r="A33" s="40" t="inlineStr">
        <is>
          <t>S5</t>
        </is>
      </c>
      <c r="B33" s="41" t="inlineStr">
        <is>
          <t>h_i (holding)</t>
        </is>
      </c>
      <c r="C33" s="41" t="inlineStr">
        <is>
          <t>×0.5</t>
        </is>
      </c>
      <c r="D33" s="42" t="inlineStr">
        <is>
          <t>0.10  $/unit/wk</t>
        </is>
      </c>
      <c r="E33" s="43" t="inlineStr">
        <is>
          <t>More carryover; discount more often</t>
        </is>
      </c>
    </row>
    <row r="34" ht="15.75" customHeight="1" s="64">
      <c r="A34" s="44" t="inlineStr">
        <is>
          <t>S6</t>
        </is>
      </c>
      <c r="B34" s="45" t="inlineStr">
        <is>
          <t>h_i (holding)</t>
        </is>
      </c>
      <c r="C34" s="45" t="inlineStr">
        <is>
          <t>×2</t>
        </is>
      </c>
      <c r="D34" s="46" t="inlineStr">
        <is>
          <t>0.40  $/unit/wk</t>
        </is>
      </c>
      <c r="E34" s="47" t="inlineStr">
        <is>
          <t>Less carryover; smaller batches</t>
        </is>
      </c>
    </row>
    <row r="35" ht="15.75" customHeight="1" s="64">
      <c r="A35" s="40" t="inlineStr">
        <is>
          <t>S7</t>
        </is>
      </c>
      <c r="B35" s="41" t="inlineStr">
        <is>
          <t>h_i (holding)</t>
        </is>
      </c>
      <c r="C35" s="41" t="inlineStr">
        <is>
          <t>×5</t>
        </is>
      </c>
      <c r="D35" s="42" t="inlineStr">
        <is>
          <t>1.00  $/unit/wk</t>
        </is>
      </c>
      <c r="E35" s="43" t="inlineStr">
        <is>
          <t>No carryover; buy fresh weekly</t>
        </is>
      </c>
    </row>
    <row r="36" ht="15.75" customHeight="1" s="64">
      <c r="A36" s="44" t="inlineStr">
        <is>
          <t>S8</t>
        </is>
      </c>
      <c r="B36" s="45" t="inlineStr">
        <is>
          <t>m_i (threshold)</t>
        </is>
      </c>
      <c r="C36" s="45" t="inlineStr">
        <is>
          <t>×0.5</t>
        </is>
      </c>
      <c r="D36" s="46" t="inlineStr">
        <is>
          <t>50 units</t>
        </is>
      </c>
      <c r="E36" s="47" t="inlineStr">
        <is>
          <t>Discount trivially activated every week</t>
        </is>
      </c>
    </row>
    <row r="37" ht="15.75" customHeight="1" s="64">
      <c r="A37" s="48" t="inlineStr">
        <is>
          <t>S9</t>
        </is>
      </c>
      <c r="B37" s="49" t="inlineStr">
        <is>
          <t>m_i (threshold)</t>
        </is>
      </c>
      <c r="C37" s="49" t="inlineStr">
        <is>
          <t>×2</t>
        </is>
      </c>
      <c r="D37" s="50" t="inlineStr">
        <is>
          <t>200 units</t>
        </is>
      </c>
      <c r="E37" s="51" t="inlineStr">
        <is>
          <t>Discount rarely activated (demand ≈190/wk)</t>
        </is>
      </c>
    </row>
    <row r="38" ht="15.75" customHeight="1" s="64"/>
    <row r="39" ht="15.75" customHeight="1" s="64"/>
    <row r="40" ht="15.75" customHeight="1" s="64"/>
    <row r="41" ht="15.75" customHeight="1" s="64"/>
    <row r="42" ht="15.75" customHeight="1" s="64"/>
    <row r="43" ht="15.75" customHeight="1" s="64"/>
    <row r="44" ht="15.75" customHeight="1" s="64"/>
    <row r="45" ht="15.75" customHeight="1" s="64"/>
    <row r="46" ht="15.75" customHeight="1" s="64"/>
    <row r="47" ht="15.75" customHeight="1" s="64"/>
    <row r="48" ht="15.75" customHeight="1" s="64"/>
    <row r="49" ht="15.75" customHeight="1" s="64"/>
    <row r="50" ht="15.75" customHeight="1" s="64"/>
    <row r="51" ht="15.75" customHeight="1" s="64"/>
    <row r="52" ht="15.75" customHeight="1" s="64"/>
    <row r="53" ht="15.75" customHeight="1" s="64"/>
    <row r="54" ht="15.75" customHeight="1" s="64"/>
    <row r="55" ht="15.75" customHeight="1" s="64"/>
    <row r="56" ht="15.75" customHeight="1" s="64"/>
    <row r="57" ht="15.75" customHeight="1" s="64"/>
    <row r="58" ht="15.75" customHeight="1" s="64"/>
    <row r="59" ht="15.75" customHeight="1" s="64"/>
    <row r="60" ht="15.75" customHeight="1" s="64"/>
    <row r="61" ht="15.75" customHeight="1" s="64"/>
    <row r="62" ht="15.75" customHeight="1" s="64"/>
    <row r="63" ht="15.75" customHeight="1" s="64"/>
    <row r="64" ht="15.75" customHeight="1" s="64"/>
    <row r="65" ht="15.75" customHeight="1" s="64"/>
    <row r="66" ht="15.75" customHeight="1" s="64"/>
    <row r="67" ht="15.75" customHeight="1" s="64"/>
    <row r="68" ht="15.75" customHeight="1" s="64"/>
    <row r="69" ht="15.75" customHeight="1" s="64"/>
    <row r="70" ht="15.75" customHeight="1" s="64"/>
    <row r="71" ht="15.75" customHeight="1" s="64"/>
    <row r="72" ht="15.75" customHeight="1" s="64"/>
    <row r="73" ht="15.75" customHeight="1" s="64"/>
    <row r="74" ht="15.75" customHeight="1" s="64"/>
    <row r="75" ht="15.75" customHeight="1" s="64"/>
    <row r="76" ht="15.75" customHeight="1" s="64"/>
    <row r="77" ht="15.75" customHeight="1" s="64"/>
    <row r="78" ht="15.75" customHeight="1" s="64"/>
    <row r="79" ht="15.75" customHeight="1" s="64"/>
    <row r="80" ht="15.75" customHeight="1" s="64"/>
    <row r="81" ht="15.75" customHeight="1" s="64"/>
    <row r="82" ht="15.75" customHeight="1" s="64"/>
    <row r="83" ht="15.75" customHeight="1" s="64"/>
    <row r="84" ht="15.75" customHeight="1" s="64"/>
    <row r="85" ht="15.75" customHeight="1" s="64"/>
    <row r="86" ht="15.75" customHeight="1" s="64"/>
    <row r="87" ht="15.75" customHeight="1" s="64"/>
    <row r="88" ht="15.75" customHeight="1" s="64"/>
    <row r="89" ht="15.75" customHeight="1" s="64"/>
    <row r="90" ht="15.75" customHeight="1" s="64"/>
    <row r="91" ht="15.75" customHeight="1" s="64"/>
    <row r="92" ht="15.75" customHeight="1" s="64"/>
    <row r="93" ht="15.75" customHeight="1" s="64"/>
    <row r="94" ht="15.75" customHeight="1" s="64"/>
    <row r="95" ht="15.75" customHeight="1" s="64"/>
    <row r="96" ht="15.75" customHeight="1" s="64"/>
    <row r="97" ht="15.75" customHeight="1" s="64"/>
    <row r="98" ht="15.75" customHeight="1" s="64"/>
    <row r="99" ht="15.75" customHeight="1" s="64"/>
    <row r="100" ht="15.75" customHeight="1" s="64"/>
  </sheetData>
  <mergeCells count="4">
    <mergeCell ref="A1:I1"/>
    <mergeCell ref="A24:I24"/>
    <mergeCell ref="A2:I2"/>
    <mergeCell ref="A3:J3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0" workbookViewId="0">
      <selection activeCell="A1" sqref="A1"/>
    </sheetView>
  </sheetViews>
  <sheetFormatPr baseColWidth="8" defaultColWidth="14.43" defaultRowHeight="15" customHeight="1"/>
  <cols>
    <col width="22" customWidth="1" style="64" min="1" max="1"/>
    <col width="16" customWidth="1" style="64" min="2" max="9"/>
  </cols>
  <sheetData>
    <row r="1" ht="25.5" customHeight="1" s="64">
      <c r="A1" s="15" t="inlineStr">
        <is>
          <t>Instance 5 (Large)  —  Large-scale scalability test</t>
        </is>
      </c>
    </row>
    <row r="2">
      <c r="A2" s="16" t="inlineStr">
        <is>
          <t>Design goal: |I|=6, |D|=6, richer recipe coupling</t>
        </is>
      </c>
    </row>
    <row r="4">
      <c r="A4" s="17" t="inlineStr">
        <is>
          <t>A. Weekly demand  (servings per dish per week)</t>
        </is>
      </c>
    </row>
    <row r="5">
      <c r="A5" s="2" t="inlineStr">
        <is>
          <t>Dish</t>
        </is>
      </c>
      <c r="B5" s="3" t="inlineStr">
        <is>
          <t>Week 1</t>
        </is>
      </c>
      <c r="C5" s="3" t="inlineStr">
        <is>
          <t>Week 2</t>
        </is>
      </c>
      <c r="D5" s="3" t="inlineStr">
        <is>
          <t>Week 3</t>
        </is>
      </c>
      <c r="E5" s="4" t="inlineStr">
        <is>
          <t>Week 4</t>
        </is>
      </c>
    </row>
    <row r="6">
      <c r="A6" s="18" t="inlineStr">
        <is>
          <t>D1 (Salad)</t>
        </is>
      </c>
      <c r="B6" s="19" t="n">
        <v>80</v>
      </c>
      <c r="C6" s="19" t="n">
        <v>95</v>
      </c>
      <c r="D6" s="19" t="n">
        <v>70</v>
      </c>
      <c r="E6" s="20" t="n">
        <v>110</v>
      </c>
    </row>
    <row r="7">
      <c r="A7" s="21" t="inlineStr">
        <is>
          <t>D2 (Stir-fry)</t>
        </is>
      </c>
      <c r="B7" s="22" t="n">
        <v>70</v>
      </c>
      <c r="C7" s="22" t="n">
        <v>80</v>
      </c>
      <c r="D7" s="22" t="n">
        <v>90</v>
      </c>
      <c r="E7" s="23" t="n">
        <v>85</v>
      </c>
    </row>
    <row r="8">
      <c r="A8" s="18" t="inlineStr">
        <is>
          <t>D3 (Roast)</t>
        </is>
      </c>
      <c r="B8" s="19" t="n">
        <v>60</v>
      </c>
      <c r="C8" s="19" t="n">
        <v>75</v>
      </c>
      <c r="D8" s="19" t="n">
        <v>65</v>
      </c>
      <c r="E8" s="20" t="n">
        <v>80</v>
      </c>
    </row>
    <row r="9">
      <c r="A9" s="21" t="inlineStr">
        <is>
          <t>D4 (Soup)</t>
        </is>
      </c>
      <c r="B9" s="22" t="n">
        <v>55</v>
      </c>
      <c r="C9" s="22" t="n">
        <v>60</v>
      </c>
      <c r="D9" s="22" t="n">
        <v>70</v>
      </c>
      <c r="E9" s="23" t="n">
        <v>65</v>
      </c>
    </row>
    <row r="10">
      <c r="A10" s="18" t="inlineStr">
        <is>
          <t>D5 (Sandwich)</t>
        </is>
      </c>
      <c r="B10" s="19" t="n">
        <v>90</v>
      </c>
      <c r="C10" s="19" t="n">
        <v>85</v>
      </c>
      <c r="D10" s="19" t="n">
        <v>95</v>
      </c>
      <c r="E10" s="20" t="n">
        <v>100</v>
      </c>
    </row>
    <row r="11">
      <c r="A11" s="34" t="inlineStr">
        <is>
          <t>D6 (Bowl)</t>
        </is>
      </c>
      <c r="B11" s="36" t="n">
        <v>75</v>
      </c>
      <c r="C11" s="36" t="n">
        <v>80</v>
      </c>
      <c r="D11" s="36" t="n">
        <v>85</v>
      </c>
      <c r="E11" s="52" t="n">
        <v>90</v>
      </c>
    </row>
    <row r="13">
      <c r="A13" s="17" t="inlineStr">
        <is>
          <t>B. Recipes  (units of ingredient per serving)</t>
        </is>
      </c>
    </row>
    <row r="14">
      <c r="A14" s="2" t="inlineStr">
        <is>
          <t>Dish \ Ingredient</t>
        </is>
      </c>
      <c r="B14" s="3" t="inlineStr">
        <is>
          <t>Chicken</t>
        </is>
      </c>
      <c r="C14" s="3" t="inlineStr">
        <is>
          <t>Beef</t>
        </is>
      </c>
      <c r="D14" s="3" t="inlineStr">
        <is>
          <t>Tomato</t>
        </is>
      </c>
      <c r="E14" s="3" t="inlineStr">
        <is>
          <t>Spinach</t>
        </is>
      </c>
      <c r="F14" s="3" t="inlineStr">
        <is>
          <t>Egg</t>
        </is>
      </c>
      <c r="G14" s="4" t="inlineStr">
        <is>
          <t>Rice</t>
        </is>
      </c>
    </row>
    <row r="15">
      <c r="A15" s="18" t="inlineStr">
        <is>
          <t>D1 (Salad)</t>
        </is>
      </c>
      <c r="B15" s="19" t="n">
        <v>0</v>
      </c>
      <c r="C15" s="19" t="n">
        <v>0</v>
      </c>
      <c r="D15" s="19" t="n">
        <v>2</v>
      </c>
      <c r="E15" s="19" t="n">
        <v>1</v>
      </c>
      <c r="F15" s="19" t="n">
        <v>1</v>
      </c>
      <c r="G15" s="20" t="n">
        <v>0</v>
      </c>
    </row>
    <row r="16">
      <c r="A16" s="21" t="inlineStr">
        <is>
          <t>D2 (Stir-fry)</t>
        </is>
      </c>
      <c r="B16" s="22" t="n">
        <v>1</v>
      </c>
      <c r="C16" s="22" t="n">
        <v>0</v>
      </c>
      <c r="D16" s="22" t="n">
        <v>0</v>
      </c>
      <c r="E16" s="22" t="n">
        <v>2</v>
      </c>
      <c r="F16" s="22" t="n">
        <v>0</v>
      </c>
      <c r="G16" s="23" t="n">
        <v>1</v>
      </c>
    </row>
    <row r="17">
      <c r="A17" s="18" t="inlineStr">
        <is>
          <t>D3 (Roast)</t>
        </is>
      </c>
      <c r="B17" s="19" t="n">
        <v>0</v>
      </c>
      <c r="C17" s="19" t="n">
        <v>1</v>
      </c>
      <c r="D17" s="19" t="n">
        <v>1</v>
      </c>
      <c r="E17" s="19" t="n">
        <v>0</v>
      </c>
      <c r="F17" s="19" t="n">
        <v>0</v>
      </c>
      <c r="G17" s="20" t="n">
        <v>0</v>
      </c>
    </row>
    <row r="18">
      <c r="A18" s="21" t="inlineStr">
        <is>
          <t>D4 (Soup)</t>
        </is>
      </c>
      <c r="B18" s="22" t="n">
        <v>1</v>
      </c>
      <c r="C18" s="22" t="n">
        <v>0</v>
      </c>
      <c r="D18" s="22" t="n">
        <v>1</v>
      </c>
      <c r="E18" s="22" t="n">
        <v>1</v>
      </c>
      <c r="F18" s="22" t="n">
        <v>0</v>
      </c>
      <c r="G18" s="23" t="n">
        <v>0</v>
      </c>
    </row>
    <row r="19">
      <c r="A19" s="18" t="inlineStr">
        <is>
          <t>D5 (Sandwich)</t>
        </is>
      </c>
      <c r="B19" s="19" t="n">
        <v>0</v>
      </c>
      <c r="C19" s="19" t="n">
        <v>1</v>
      </c>
      <c r="D19" s="19" t="n">
        <v>0</v>
      </c>
      <c r="E19" s="19" t="n">
        <v>0</v>
      </c>
      <c r="F19" s="19" t="n">
        <v>1</v>
      </c>
      <c r="G19" s="20" t="n">
        <v>0</v>
      </c>
    </row>
    <row r="20">
      <c r="A20" s="34" t="inlineStr">
        <is>
          <t>D6 (Bowl)</t>
        </is>
      </c>
      <c r="B20" s="36" t="n">
        <v>1</v>
      </c>
      <c r="C20" s="36" t="n">
        <v>0</v>
      </c>
      <c r="D20" s="36" t="n">
        <v>0</v>
      </c>
      <c r="E20" s="36" t="n">
        <v>0</v>
      </c>
      <c r="F20" s="36" t="n">
        <v>1</v>
      </c>
      <c r="G20" s="52" t="n">
        <v>2</v>
      </c>
    </row>
    <row r="21" ht="15.75" customHeight="1" s="64"/>
    <row r="22" ht="15.75" customHeight="1" s="64">
      <c r="A22" s="17" t="inlineStr">
        <is>
          <t>C. Ingredient parameters</t>
        </is>
      </c>
    </row>
    <row r="23" ht="15.75" customHeight="1" s="64">
      <c r="A23" s="2" t="inlineStr">
        <is>
          <t>Ingredient</t>
        </is>
      </c>
      <c r="B23" s="3" t="inlineStr">
        <is>
          <t>Regular cost cᵢ</t>
        </is>
      </c>
      <c r="C23" s="3" t="inlineStr">
        <is>
          <t>Disc. cost c̄ᵢ</t>
        </is>
      </c>
      <c r="D23" s="3" t="inlineStr">
        <is>
          <t>Min qty mᵢ</t>
        </is>
      </c>
      <c r="E23" s="3" t="inlineStr">
        <is>
          <t>Shelf life Lᵢ (wks)</t>
        </is>
      </c>
      <c r="F23" s="3" t="inlineStr">
        <is>
          <t>Holding cost hᵢ</t>
        </is>
      </c>
      <c r="G23" s="4" t="inlineStr">
        <is>
          <t>Waste cost wᵢ</t>
        </is>
      </c>
      <c r="I23" s="27" t="inlineStr">
        <is>
          <t>Discount saving %</t>
        </is>
      </c>
    </row>
    <row r="24" ht="15.75" customHeight="1" s="64">
      <c r="A24" s="18" t="inlineStr">
        <is>
          <t>Chicken</t>
        </is>
      </c>
      <c r="B24" s="28" t="n">
        <v>4.5</v>
      </c>
      <c r="C24" s="28" t="n">
        <v>3.85</v>
      </c>
      <c r="D24" s="19" t="n">
        <v>200</v>
      </c>
      <c r="E24" s="19" t="n">
        <v>2</v>
      </c>
      <c r="F24" s="28" t="n">
        <v>0.18</v>
      </c>
      <c r="G24" s="29" t="n">
        <v>1.2</v>
      </c>
      <c r="I24" s="30" t="inlineStr">
        <is>
          <t>14.4%</t>
        </is>
      </c>
    </row>
    <row r="25" ht="15.75" customHeight="1" s="64">
      <c r="A25" s="21" t="inlineStr">
        <is>
          <t>Beef</t>
        </is>
      </c>
      <c r="B25" s="31" t="n">
        <v>6</v>
      </c>
      <c r="C25" s="31" t="n">
        <v>5.1</v>
      </c>
      <c r="D25" s="22" t="n">
        <v>150</v>
      </c>
      <c r="E25" s="22" t="n">
        <v>2</v>
      </c>
      <c r="F25" s="31" t="n">
        <v>0.22</v>
      </c>
      <c r="G25" s="32" t="n">
        <v>1.8</v>
      </c>
      <c r="I25" s="33" t="inlineStr">
        <is>
          <t>15.0%</t>
        </is>
      </c>
    </row>
    <row r="26" ht="15.75" customHeight="1" s="64">
      <c r="A26" s="18" t="inlineStr">
        <is>
          <t>Tomato</t>
        </is>
      </c>
      <c r="B26" s="28" t="n">
        <v>1</v>
      </c>
      <c r="C26" s="28" t="n">
        <v>0.82</v>
      </c>
      <c r="D26" s="19" t="n">
        <v>300</v>
      </c>
      <c r="E26" s="19" t="n">
        <v>1</v>
      </c>
      <c r="F26" s="28" t="n">
        <v>0.04</v>
      </c>
      <c r="G26" s="29" t="n">
        <v>0.25</v>
      </c>
      <c r="I26" s="30" t="inlineStr">
        <is>
          <t>18.0%</t>
        </is>
      </c>
    </row>
    <row r="27" ht="15.75" customHeight="1" s="64">
      <c r="A27" s="21" t="inlineStr">
        <is>
          <t>Spinach</t>
        </is>
      </c>
      <c r="B27" s="31" t="n">
        <v>0.8</v>
      </c>
      <c r="C27" s="31" t="n">
        <v>0.66</v>
      </c>
      <c r="D27" s="22" t="n">
        <v>200</v>
      </c>
      <c r="E27" s="22" t="n">
        <v>1</v>
      </c>
      <c r="F27" s="31" t="n">
        <v>0.03</v>
      </c>
      <c r="G27" s="32" t="n">
        <v>0.18</v>
      </c>
      <c r="I27" s="33" t="inlineStr">
        <is>
          <t>17.5%</t>
        </is>
      </c>
    </row>
    <row r="28" ht="15.75" customHeight="1" s="64">
      <c r="A28" s="18" t="inlineStr">
        <is>
          <t>Egg</t>
        </is>
      </c>
      <c r="B28" s="28" t="n">
        <v>0.5</v>
      </c>
      <c r="C28" s="28" t="n">
        <v>0.42</v>
      </c>
      <c r="D28" s="19" t="n">
        <v>400</v>
      </c>
      <c r="E28" s="19" t="n">
        <v>2</v>
      </c>
      <c r="F28" s="28" t="n">
        <v>0.02</v>
      </c>
      <c r="G28" s="29" t="n">
        <v>0.08</v>
      </c>
      <c r="I28" s="30" t="inlineStr">
        <is>
          <t>16.0%</t>
        </is>
      </c>
    </row>
    <row r="29" ht="15.75" customHeight="1" s="64">
      <c r="A29" s="34" t="inlineStr">
        <is>
          <t>Rice</t>
        </is>
      </c>
      <c r="B29" s="35" t="n">
        <v>0.3</v>
      </c>
      <c r="C29" s="35" t="n">
        <v>0.24</v>
      </c>
      <c r="D29" s="36" t="n">
        <v>500</v>
      </c>
      <c r="E29" s="36" t="n">
        <v>3</v>
      </c>
      <c r="F29" s="35" t="n">
        <v>0.01</v>
      </c>
      <c r="G29" s="37" t="n">
        <v>0.05</v>
      </c>
      <c r="I29" s="33" t="inlineStr">
        <is>
          <t>20.0%</t>
        </is>
      </c>
    </row>
    <row r="30" ht="15.75" customHeight="1" s="64"/>
    <row r="31" ht="15.75" customHeight="1" s="64">
      <c r="A31" s="17" t="inlineStr">
        <is>
          <t>D. Instance notes &amp; expected model behaviour</t>
        </is>
      </c>
    </row>
    <row r="32" ht="105" customHeight="1" s="64">
      <c r="A32" s="39" t="inlineStr">
        <is>
          <t>Scalability instance: |I|=6 ingredients, |D|=6 dishes, T=4 weeks — roughly 3× the variables of Instance 1.
• Multiple ingredients appear in 2–3 dishes, creating coupled demand (e.g. Chicken used in D2, D4, D6).
• Rice has shelf life L=3, enabling 2-week advance purchasing; Tomato &amp; Spinach remain L=1.
• Tests solver performance and constraint scaling: more age-indexed variables (inv^(a)_{i,t}) and binary u_{i,t}.
• Expected: discount activated for Rice and Egg (high-volume, low-threshold ingredients); Beef and Chicken bought strategically across weeks due to coupled dish demand.
• Report solve time and # variables/constraints to demonstrate practical tractability.</t>
        </is>
      </c>
    </row>
    <row r="33" ht="15.75" customHeight="1" s="64"/>
    <row r="34" ht="15.75" customHeight="1" s="64"/>
    <row r="35" ht="15.75" customHeight="1" s="64"/>
    <row r="36" ht="15.75" customHeight="1" s="64"/>
    <row r="37" ht="15.75" customHeight="1" s="64"/>
    <row r="38" ht="15.75" customHeight="1" s="64"/>
    <row r="39" ht="15.75" customHeight="1" s="64"/>
    <row r="40" ht="15.75" customHeight="1" s="64"/>
    <row r="41" ht="15.75" customHeight="1" s="64"/>
    <row r="42" ht="15.75" customHeight="1" s="64"/>
    <row r="43" ht="15.75" customHeight="1" s="64"/>
    <row r="44" ht="15.75" customHeight="1" s="64"/>
    <row r="45" ht="15.75" customHeight="1" s="64"/>
    <row r="46" ht="15.75" customHeight="1" s="64"/>
    <row r="47" ht="15.75" customHeight="1" s="64"/>
    <row r="48" ht="15.75" customHeight="1" s="64"/>
    <row r="49" ht="15.75" customHeight="1" s="64"/>
    <row r="50" ht="15.75" customHeight="1" s="64"/>
    <row r="51" ht="15.75" customHeight="1" s="64"/>
    <row r="52" ht="15.75" customHeight="1" s="64"/>
    <row r="53" ht="15.75" customHeight="1" s="64"/>
    <row r="54" ht="15.75" customHeight="1" s="64"/>
    <row r="55" ht="15.75" customHeight="1" s="64"/>
    <row r="56" ht="15.75" customHeight="1" s="64"/>
    <row r="57" ht="15.75" customHeight="1" s="64"/>
    <row r="58" ht="15.75" customHeight="1" s="64"/>
    <row r="59" ht="15.75" customHeight="1" s="64"/>
    <row r="60" ht="15.75" customHeight="1" s="64"/>
    <row r="61" ht="15.75" customHeight="1" s="64"/>
    <row r="62" ht="15.75" customHeight="1" s="64"/>
    <row r="63" ht="15.75" customHeight="1" s="64"/>
    <row r="64" ht="15.75" customHeight="1" s="64"/>
    <row r="65" ht="15.75" customHeight="1" s="64"/>
    <row r="66" ht="15.75" customHeight="1" s="64"/>
    <row r="67" ht="15.75" customHeight="1" s="64"/>
    <row r="68" ht="15.75" customHeight="1" s="64"/>
    <row r="69" ht="15.75" customHeight="1" s="64"/>
    <row r="70" ht="15.75" customHeight="1" s="64"/>
    <row r="71" ht="15.75" customHeight="1" s="64"/>
    <row r="72" ht="15.75" customHeight="1" s="64"/>
    <row r="73" ht="15.75" customHeight="1" s="64"/>
    <row r="74" ht="15.75" customHeight="1" s="64"/>
    <row r="75" ht="15.75" customHeight="1" s="64"/>
    <row r="76" ht="15.75" customHeight="1" s="64"/>
    <row r="77" ht="15.75" customHeight="1" s="64"/>
    <row r="78" ht="15.75" customHeight="1" s="64"/>
    <row r="79" ht="15.75" customHeight="1" s="64"/>
    <row r="80" ht="15.75" customHeight="1" s="64"/>
    <row r="81" ht="15.75" customHeight="1" s="64"/>
    <row r="82" ht="15.75" customHeight="1" s="64"/>
    <row r="83" ht="15.75" customHeight="1" s="64"/>
    <row r="84" ht="15.75" customHeight="1" s="64"/>
    <row r="85" ht="15.75" customHeight="1" s="64"/>
    <row r="86" ht="15.75" customHeight="1" s="64"/>
    <row r="87" ht="15.75" customHeight="1" s="64"/>
    <row r="88" ht="15.75" customHeight="1" s="64"/>
    <row r="89" ht="15.75" customHeight="1" s="64"/>
    <row r="90" ht="15.75" customHeight="1" s="64"/>
    <row r="91" ht="15.75" customHeight="1" s="64"/>
    <row r="92" ht="15.75" customHeight="1" s="64"/>
    <row r="93" ht="15.75" customHeight="1" s="64"/>
    <row r="94" ht="15.75" customHeight="1" s="64"/>
    <row r="95" ht="15.75" customHeight="1" s="64"/>
    <row r="96" ht="15.75" customHeight="1" s="64"/>
    <row r="97" ht="15.75" customHeight="1" s="64"/>
    <row r="98" ht="15.75" customHeight="1" s="64"/>
    <row r="99" ht="15.75" customHeight="1" s="64"/>
    <row r="100" ht="15.75" customHeight="1" s="64"/>
  </sheetData>
  <mergeCells count="3">
    <mergeCell ref="A1:I1"/>
    <mergeCell ref="A32:I32"/>
    <mergeCell ref="A2:I2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47"/>
  <sheetViews>
    <sheetView workbookViewId="0">
      <selection activeCell="A1" sqref="A1"/>
    </sheetView>
  </sheetViews>
  <sheetFormatPr baseColWidth="8" defaultColWidth="14.43" defaultRowHeight="15" customHeight="1"/>
  <cols>
    <col width="22" customWidth="1" style="64" min="1" max="1"/>
    <col width="13" customWidth="1" style="64" min="2" max="5"/>
    <col width="16" customWidth="1" style="64" min="6" max="10"/>
    <col width="16" customWidth="1" style="64" min="11" max="26"/>
    <col width="14" customWidth="1" style="64" min="12" max="12"/>
  </cols>
  <sheetData>
    <row r="1" ht="24" customHeight="1" s="64">
      <c r="A1" s="53" t="inlineStr">
        <is>
          <t>Formula Generator</t>
        </is>
      </c>
      <c r="Z1" s="0">
        <f>MATCH($B$2,$Z$2:$Z$6,0)</f>
        <v/>
      </c>
    </row>
    <row r="2">
      <c r="A2" s="61" t="inlineStr">
        <is>
          <t>Instance</t>
        </is>
      </c>
      <c r="B2" s="61" t="inlineStr">
        <is>
          <t>Instance 1 (Base)</t>
        </is>
      </c>
      <c r="C2" s="61" t="n"/>
      <c r="D2" s="61" t="n"/>
      <c r="E2" s="61" t="n"/>
      <c r="F2" s="61" t="n"/>
      <c r="G2" s="61" t="n"/>
      <c r="H2" s="61" t="n"/>
      <c r="I2" s="61" t="n"/>
      <c r="J2" s="61" t="n"/>
      <c r="Z2" s="0" t="inlineStr">
        <is>
          <t>Instance 1 (Base)</t>
        </is>
      </c>
    </row>
    <row r="3">
      <c r="A3" s="61" t="n"/>
      <c r="B3" s="61" t="n"/>
      <c r="C3" s="61" t="n"/>
      <c r="D3" s="61" t="n"/>
      <c r="E3" s="61" t="n"/>
      <c r="F3" s="61" t="n"/>
      <c r="G3" s="61" t="n"/>
      <c r="H3" s="61" t="n"/>
      <c r="I3" s="61" t="n"/>
      <c r="J3" s="61" t="n"/>
      <c r="Z3" s="0" t="inlineStr">
        <is>
          <t>Instance 2 (No Discount)</t>
        </is>
      </c>
    </row>
    <row r="4">
      <c r="A4" s="55" t="inlineStr">
        <is>
          <t>Weekly dish demand</t>
        </is>
      </c>
      <c r="F4" s="61" t="n"/>
      <c r="G4" s="61" t="n"/>
      <c r="H4" s="61" t="n"/>
      <c r="I4" s="61" t="n"/>
      <c r="J4" s="61" t="n"/>
      <c r="Z4" s="0" t="inlineStr">
        <is>
          <t>Instance 3 (Carryover)</t>
        </is>
      </c>
    </row>
    <row r="5">
      <c r="A5" s="60" t="inlineStr">
        <is>
          <t>Dish</t>
        </is>
      </c>
      <c r="B5" s="60" t="inlineStr">
        <is>
          <t>Week 1</t>
        </is>
      </c>
      <c r="C5" s="60" t="inlineStr">
        <is>
          <t>Week 2</t>
        </is>
      </c>
      <c r="D5" s="60" t="inlineStr">
        <is>
          <t>Week 3</t>
        </is>
      </c>
      <c r="E5" s="60" t="inlineStr">
        <is>
          <t>Week 4</t>
        </is>
      </c>
      <c r="F5" s="61" t="n"/>
      <c r="G5" s="61" t="n"/>
      <c r="H5" s="61" t="n"/>
      <c r="I5" s="61" t="n"/>
      <c r="J5" s="61" t="n"/>
      <c r="Z5" s="0" t="inlineStr">
        <is>
          <t>Instance 4 (Sensitivity)</t>
        </is>
      </c>
    </row>
    <row r="6">
      <c r="A6" s="61">
        <f>IF(CHOOSE($Z$1,'Instance 1 (Base)'!A6,'Instance 2 (No Discount)'!A6,'Instance 3 (Carryover)'!A6,'Instance 4 (Sensitivity)'!A6,'Instance 5 (Large)'!A6)="","",CHOOSE($Z$1,'Instance 1 (Base)'!A6,'Instance 2 (No Discount)'!A6,'Instance 3 (Carryover)'!A6,'Instance 4 (Sensitivity)'!A6,'Instance 5 (Large)'!A6))</f>
        <v/>
      </c>
      <c r="B6" s="57">
        <f>IF($A6="","",CHOOSE($Z$1,'Instance 1 (Base)'!B6,'Instance 2 (No Discount)'!B6,'Instance 3 (Carryover)'!B6,'Instance 4 (Sensitivity)'!B6,'Instance 5 (Large)'!B6))</f>
        <v/>
      </c>
      <c r="C6" s="57">
        <f>IF($A6="","",CHOOSE($Z$1,'Instance 1 (Base)'!C6,'Instance 2 (No Discount)'!C6,'Instance 3 (Carryover)'!C6,'Instance 4 (Sensitivity)'!C6,'Instance 5 (Large)'!C6))</f>
        <v/>
      </c>
      <c r="D6" s="57">
        <f>IF($A6="","",CHOOSE($Z$1,'Instance 1 (Base)'!D6,'Instance 2 (No Discount)'!D6,'Instance 3 (Carryover)'!D6,'Instance 4 (Sensitivity)'!D6,'Instance 5 (Large)'!D6))</f>
        <v/>
      </c>
      <c r="E6" s="57">
        <f>IF($A6="","",CHOOSE($Z$1,'Instance 1 (Base)'!E6,'Instance 2 (No Discount)'!E6,'Instance 3 (Carryover)'!E6,'Instance 4 (Sensitivity)'!E6,'Instance 5 (Large)'!E6))</f>
        <v/>
      </c>
      <c r="F6" s="61" t="n"/>
      <c r="G6" s="61" t="n"/>
      <c r="H6" s="61" t="n"/>
      <c r="I6" s="61" t="n"/>
      <c r="J6" s="61" t="n"/>
      <c r="Z6" s="0" t="inlineStr">
        <is>
          <t>Instance 5 (Large)</t>
        </is>
      </c>
    </row>
    <row r="7">
      <c r="A7" s="61">
        <f>IF(CHOOSE($Z$1,'Instance 1 (Base)'!A7,'Instance 2 (No Discount)'!A7,'Instance 3 (Carryover)'!A7,'Instance 4 (Sensitivity)'!A7,'Instance 5 (Large)'!A7)="","",CHOOSE($Z$1,'Instance 1 (Base)'!A7,'Instance 2 (No Discount)'!A7,'Instance 3 (Carryover)'!A7,'Instance 4 (Sensitivity)'!A7,'Instance 5 (Large)'!A7))</f>
        <v/>
      </c>
      <c r="B7" s="57">
        <f>IF($A7="","",CHOOSE($Z$1,'Instance 1 (Base)'!B7,'Instance 2 (No Discount)'!B7,'Instance 3 (Carryover)'!B7,'Instance 4 (Sensitivity)'!B7,'Instance 5 (Large)'!B7))</f>
        <v/>
      </c>
      <c r="C7" s="57">
        <f>IF($A7="","",CHOOSE($Z$1,'Instance 1 (Base)'!C7,'Instance 2 (No Discount)'!C7,'Instance 3 (Carryover)'!C7,'Instance 4 (Sensitivity)'!C7,'Instance 5 (Large)'!C7))</f>
        <v/>
      </c>
      <c r="D7" s="57">
        <f>IF($A7="","",CHOOSE($Z$1,'Instance 1 (Base)'!D7,'Instance 2 (No Discount)'!D7,'Instance 3 (Carryover)'!D7,'Instance 4 (Sensitivity)'!D7,'Instance 5 (Large)'!D7))</f>
        <v/>
      </c>
      <c r="E7" s="57">
        <f>IF($A7="","",CHOOSE($Z$1,'Instance 1 (Base)'!E7,'Instance 2 (No Discount)'!E7,'Instance 3 (Carryover)'!E7,'Instance 4 (Sensitivity)'!E7,'Instance 5 (Large)'!E7))</f>
        <v/>
      </c>
      <c r="F7" s="61" t="n"/>
      <c r="G7" s="61" t="n"/>
      <c r="H7" s="61" t="n"/>
      <c r="I7" s="61" t="n"/>
      <c r="J7" s="61" t="n"/>
    </row>
    <row r="8">
      <c r="A8" s="61">
        <f>IF(CHOOSE($Z$1,'Instance 1 (Base)'!A8,'Instance 2 (No Discount)'!A8,'Instance 3 (Carryover)'!A8,'Instance 4 (Sensitivity)'!A8,'Instance 5 (Large)'!A8)="","",CHOOSE($Z$1,'Instance 1 (Base)'!A8,'Instance 2 (No Discount)'!A8,'Instance 3 (Carryover)'!A8,'Instance 4 (Sensitivity)'!A8,'Instance 5 (Large)'!A8))</f>
        <v/>
      </c>
      <c r="B8" s="57">
        <f>IF($A8="","",CHOOSE($Z$1,'Instance 1 (Base)'!B8,'Instance 2 (No Discount)'!B8,'Instance 3 (Carryover)'!B8,'Instance 4 (Sensitivity)'!B8,'Instance 5 (Large)'!B8))</f>
        <v/>
      </c>
      <c r="C8" s="57">
        <f>IF($A8="","",CHOOSE($Z$1,'Instance 1 (Base)'!C8,'Instance 2 (No Discount)'!C8,'Instance 3 (Carryover)'!C8,'Instance 4 (Sensitivity)'!C8,'Instance 5 (Large)'!C8))</f>
        <v/>
      </c>
      <c r="D8" s="57">
        <f>IF($A8="","",CHOOSE($Z$1,'Instance 1 (Base)'!D8,'Instance 2 (No Discount)'!D8,'Instance 3 (Carryover)'!D8,'Instance 4 (Sensitivity)'!D8,'Instance 5 (Large)'!D8))</f>
        <v/>
      </c>
      <c r="E8" s="57">
        <f>IF($A8="","",CHOOSE($Z$1,'Instance 1 (Base)'!E8,'Instance 2 (No Discount)'!E8,'Instance 3 (Carryover)'!E8,'Instance 4 (Sensitivity)'!E8,'Instance 5 (Large)'!E8))</f>
        <v/>
      </c>
      <c r="F8" s="61" t="n"/>
      <c r="G8" s="61" t="n"/>
      <c r="H8" s="61" t="n"/>
      <c r="I8" s="61" t="n"/>
      <c r="J8" s="61" t="n"/>
    </row>
    <row r="9">
      <c r="A9" s="61">
        <f>IF(CHOOSE($Z$1,"","","","",'Instance 5 (Large)'!A9)="","",CHOOSE($Z$1,"","","","",'Instance 5 (Large)'!A9))</f>
        <v/>
      </c>
      <c r="B9" s="57">
        <f>IF($A9="","",CHOOSE($Z$1,"","","","",'Instance 5 (Large)'!B9))</f>
        <v/>
      </c>
      <c r="C9" s="57">
        <f>IF($A9="","",CHOOSE($Z$1,"","","","",'Instance 5 (Large)'!C9))</f>
        <v/>
      </c>
      <c r="D9" s="57">
        <f>IF($A9="","",CHOOSE($Z$1,"","","","",'Instance 5 (Large)'!D9))</f>
        <v/>
      </c>
      <c r="E9" s="57">
        <f>IF($A9="","",CHOOSE($Z$1,"","","","",'Instance 5 (Large)'!E9))</f>
        <v/>
      </c>
      <c r="F9" s="61" t="n"/>
      <c r="G9" s="61" t="n"/>
      <c r="H9" s="61" t="n"/>
      <c r="I9" s="61" t="n"/>
      <c r="J9" s="61" t="n"/>
    </row>
    <row r="10">
      <c r="A10" s="61">
        <f>IF(CHOOSE($Z$1,"","","","",'Instance 5 (Large)'!A10)="","",CHOOSE($Z$1,"","","","",'Instance 5 (Large)'!A10))</f>
        <v/>
      </c>
      <c r="B10" s="57">
        <f>IF($A10="","",CHOOSE($Z$1,"","","","",'Instance 5 (Large)'!B10))</f>
        <v/>
      </c>
      <c r="C10" s="57">
        <f>IF($A10="","",CHOOSE($Z$1,"","","","",'Instance 5 (Large)'!C10))</f>
        <v/>
      </c>
      <c r="D10" s="57">
        <f>IF($A10="","",CHOOSE($Z$1,"","","","",'Instance 5 (Large)'!D10))</f>
        <v/>
      </c>
      <c r="E10" s="57">
        <f>IF($A10="","",CHOOSE($Z$1,"","","","",'Instance 5 (Large)'!E10))</f>
        <v/>
      </c>
      <c r="F10" s="61" t="n"/>
      <c r="G10" s="61" t="n"/>
      <c r="H10" s="61" t="n"/>
      <c r="I10" s="61" t="n"/>
      <c r="J10" s="61" t="n"/>
    </row>
    <row r="11">
      <c r="A11" s="61">
        <f>IF(CHOOSE($Z$1,"","","","",'Instance 5 (Large)'!A11)="","",CHOOSE($Z$1,"","","","",'Instance 5 (Large)'!A11))</f>
        <v/>
      </c>
      <c r="B11" s="57">
        <f>IF($A11="","",CHOOSE($Z$1,"","","","",'Instance 5 (Large)'!B11))</f>
        <v/>
      </c>
      <c r="C11" s="57">
        <f>IF($A11="","",CHOOSE($Z$1,"","","","",'Instance 5 (Large)'!C11))</f>
        <v/>
      </c>
      <c r="D11" s="57">
        <f>IF($A11="","",CHOOSE($Z$1,"","","","",'Instance 5 (Large)'!D11))</f>
        <v/>
      </c>
      <c r="E11" s="57">
        <f>IF($A11="","",CHOOSE($Z$1,"","","","",'Instance 5 (Large)'!E11))</f>
        <v/>
      </c>
      <c r="F11" s="61" t="n"/>
      <c r="G11" s="61" t="n"/>
      <c r="H11" s="61" t="n"/>
      <c r="I11" s="61" t="n"/>
      <c r="J11" s="61" t="n"/>
    </row>
    <row r="12">
      <c r="A12" s="61" t="n"/>
      <c r="B12" s="61" t="n"/>
      <c r="C12" s="61" t="n"/>
      <c r="D12" s="61" t="n"/>
      <c r="E12" s="61" t="n"/>
      <c r="F12" s="61" t="n"/>
      <c r="G12" s="61" t="n"/>
      <c r="H12" s="61" t="n"/>
      <c r="I12" s="61" t="n"/>
      <c r="J12" s="61" t="n"/>
    </row>
    <row r="13">
      <c r="A13" s="55" t="inlineStr">
        <is>
          <t>Recipe matrix</t>
        </is>
      </c>
      <c r="H13" s="61" t="n"/>
      <c r="I13" s="61" t="n"/>
      <c r="J13" s="61" t="n"/>
    </row>
    <row r="14">
      <c r="A14" s="60">
        <f>"Dish \ Ingredient"</f>
        <v/>
      </c>
      <c r="B14" s="60">
        <f>IF(CHOOSE($Z$1,'Instance 1 (Base)'!B11,'Instance 2 (No Discount)'!B11,'Instance 3 (Carryover)'!B11,'Instance 4 (Sensitivity)'!B11,'Instance 5 (Large)'!B14)="","",CHOOSE($Z$1,'Instance 1 (Base)'!B11,'Instance 2 (No Discount)'!B11,'Instance 3 (Carryover)'!B11,'Instance 4 (Sensitivity)'!B11,'Instance 5 (Large)'!B14))</f>
        <v/>
      </c>
      <c r="C14" s="60">
        <f>IF(CHOOSE($Z$1,'Instance 1 (Base)'!C11,'Instance 2 (No Discount)'!C11,'Instance 3 (Carryover)'!C11,'Instance 4 (Sensitivity)'!C11,'Instance 5 (Large)'!C14)="","",CHOOSE($Z$1,'Instance 1 (Base)'!C11,'Instance 2 (No Discount)'!C11,'Instance 3 (Carryover)'!C11,'Instance 4 (Sensitivity)'!C11,'Instance 5 (Large)'!C14))</f>
        <v/>
      </c>
      <c r="D14" s="60">
        <f>IF(CHOOSE($Z$1,'Instance 1 (Base)'!D11,'Instance 2 (No Discount)'!D11,'Instance 3 (Carryover)'!D11,'Instance 4 (Sensitivity)'!D11,'Instance 5 (Large)'!D14)="","",CHOOSE($Z$1,'Instance 1 (Base)'!D11,'Instance 2 (No Discount)'!D11,'Instance 3 (Carryover)'!D11,'Instance 4 (Sensitivity)'!D11,'Instance 5 (Large)'!D14))</f>
        <v/>
      </c>
      <c r="E14" s="60">
        <f>IF(CHOOSE($Z$1,'Instance 1 (Base)'!E11,'Instance 2 (No Discount)'!E11,'Instance 3 (Carryover)'!E11,'Instance 4 (Sensitivity)'!E11,'Instance 5 (Large)'!E14)="","",CHOOSE($Z$1,'Instance 1 (Base)'!E11,'Instance 2 (No Discount)'!E11,'Instance 3 (Carryover)'!E11,'Instance 4 (Sensitivity)'!E11,'Instance 5 (Large)'!E14))</f>
        <v/>
      </c>
      <c r="F14" s="60">
        <f>IF(CHOOSE($Z$1,'Instance 1 (Base)'!F11,'Instance 2 (No Discount)'!F11,'Instance 3 (Carryover)'!F11,'Instance 4 (Sensitivity)'!F11,'Instance 5 (Large)'!F14)="","",CHOOSE($Z$1,'Instance 1 (Base)'!F11,'Instance 2 (No Discount)'!F11,'Instance 3 (Carryover)'!F11,'Instance 4 (Sensitivity)'!F11,'Instance 5 (Large)'!F14))</f>
        <v/>
      </c>
      <c r="G14" s="60">
        <f>IF(CHOOSE($Z$1,'Instance 1 (Base)'!G11,'Instance 2 (No Discount)'!G11,'Instance 3 (Carryover)'!G11,'Instance 4 (Sensitivity)'!G11,'Instance 5 (Large)'!G14)="","",CHOOSE($Z$1,'Instance 1 (Base)'!G11,'Instance 2 (No Discount)'!G11,'Instance 3 (Carryover)'!G11,'Instance 4 (Sensitivity)'!G11,'Instance 5 (Large)'!G14))</f>
        <v/>
      </c>
      <c r="H14" s="61" t="n"/>
      <c r="I14" s="61" t="n"/>
      <c r="J14" s="61" t="n"/>
    </row>
    <row r="15">
      <c r="A15" s="61">
        <f>IF(CHOOSE($Z$1,'Instance 1 (Base)'!A12,'Instance 2 (No Discount)'!A12,'Instance 3 (Carryover)'!A12,'Instance 4 (Sensitivity)'!A12,'Instance 5 (Large)'!A15)="","",CHOOSE($Z$1,'Instance 1 (Base)'!A12,'Instance 2 (No Discount)'!A12,'Instance 3 (Carryover)'!A12,'Instance 4 (Sensitivity)'!A12,'Instance 5 (Large)'!A15))</f>
        <v/>
      </c>
      <c r="B15" s="62">
        <f>IF(OR($A15="",B$14=""),"",CHOOSE($Z$1,'Instance 1 (Base)'!B12,'Instance 2 (No Discount)'!B12,'Instance 3 (Carryover)'!B12,'Instance 4 (Sensitivity)'!B12,'Instance 5 (Large)'!B15))</f>
        <v/>
      </c>
      <c r="C15" s="62">
        <f>IF(OR($A15="",C$14=""),"",CHOOSE($Z$1,'Instance 1 (Base)'!C12,'Instance 2 (No Discount)'!C12,'Instance 3 (Carryover)'!C12,'Instance 4 (Sensitivity)'!C12,'Instance 5 (Large)'!C15))</f>
        <v/>
      </c>
      <c r="D15" s="62">
        <f>IF(OR($A15="",D$14=""),"",CHOOSE($Z$1,'Instance 1 (Base)'!D12,'Instance 2 (No Discount)'!D12,'Instance 3 (Carryover)'!D12,'Instance 4 (Sensitivity)'!D12,'Instance 5 (Large)'!D15))</f>
        <v/>
      </c>
      <c r="E15" s="62">
        <f>IF(OR($A15="",E$14=""),"",CHOOSE($Z$1,'Instance 1 (Base)'!E12,'Instance 2 (No Discount)'!E12,'Instance 3 (Carryover)'!E12,'Instance 4 (Sensitivity)'!E12,'Instance 5 (Large)'!E15))</f>
        <v/>
      </c>
      <c r="F15" s="62">
        <f>IF(OR($A15="",F$14=""),"",CHOOSE($Z$1,'Instance 1 (Base)'!F12,'Instance 2 (No Discount)'!F12,'Instance 3 (Carryover)'!F12,'Instance 4 (Sensitivity)'!F12,'Instance 5 (Large)'!F15))</f>
        <v/>
      </c>
      <c r="G15" s="62">
        <f>IF(OR($A15="",G$14=""),"",CHOOSE($Z$1,'Instance 1 (Base)'!G12,'Instance 2 (No Discount)'!G12,'Instance 3 (Carryover)'!G12,'Instance 4 (Sensitivity)'!G12,'Instance 5 (Large)'!G15))</f>
        <v/>
      </c>
      <c r="H15" s="61" t="n"/>
      <c r="I15" s="61" t="n"/>
      <c r="J15" s="61" t="n"/>
    </row>
    <row r="16">
      <c r="A16" s="61">
        <f>IF(CHOOSE($Z$1,'Instance 1 (Base)'!A13,'Instance 2 (No Discount)'!A13,'Instance 3 (Carryover)'!A13,'Instance 4 (Sensitivity)'!A13,'Instance 5 (Large)'!A16)="","",CHOOSE($Z$1,'Instance 1 (Base)'!A13,'Instance 2 (No Discount)'!A13,'Instance 3 (Carryover)'!A13,'Instance 4 (Sensitivity)'!A13,'Instance 5 (Large)'!A16))</f>
        <v/>
      </c>
      <c r="B16" s="62">
        <f>IF(OR($A16="",B$14=""),"",CHOOSE($Z$1,'Instance 1 (Base)'!B13,'Instance 2 (No Discount)'!B13,'Instance 3 (Carryover)'!B13,'Instance 4 (Sensitivity)'!B13,'Instance 5 (Large)'!B16))</f>
        <v/>
      </c>
      <c r="C16" s="62">
        <f>IF(OR($A16="",C$14=""),"",CHOOSE($Z$1,'Instance 1 (Base)'!C13,'Instance 2 (No Discount)'!C13,'Instance 3 (Carryover)'!C13,'Instance 4 (Sensitivity)'!C13,'Instance 5 (Large)'!C16))</f>
        <v/>
      </c>
      <c r="D16" s="62">
        <f>IF(OR($A16="",D$14=""),"",CHOOSE($Z$1,'Instance 1 (Base)'!D13,'Instance 2 (No Discount)'!D13,'Instance 3 (Carryover)'!D13,'Instance 4 (Sensitivity)'!D13,'Instance 5 (Large)'!D16))</f>
        <v/>
      </c>
      <c r="E16" s="62">
        <f>IF(OR($A16="",E$14=""),"",CHOOSE($Z$1,'Instance 1 (Base)'!E13,'Instance 2 (No Discount)'!E13,'Instance 3 (Carryover)'!E13,'Instance 4 (Sensitivity)'!E13,'Instance 5 (Large)'!E16))</f>
        <v/>
      </c>
      <c r="F16" s="62">
        <f>IF(OR($A16="",F$14=""),"",CHOOSE($Z$1,'Instance 1 (Base)'!F13,'Instance 2 (No Discount)'!F13,'Instance 3 (Carryover)'!F13,'Instance 4 (Sensitivity)'!F13,'Instance 5 (Large)'!F16))</f>
        <v/>
      </c>
      <c r="G16" s="62">
        <f>IF(OR($A16="",G$14=""),"",CHOOSE($Z$1,'Instance 1 (Base)'!G13,'Instance 2 (No Discount)'!G13,'Instance 3 (Carryover)'!G13,'Instance 4 (Sensitivity)'!G13,'Instance 5 (Large)'!G16))</f>
        <v/>
      </c>
      <c r="H16" s="61" t="n"/>
      <c r="I16" s="61" t="n"/>
      <c r="J16" s="61" t="n"/>
    </row>
    <row r="17">
      <c r="A17" s="61">
        <f>IF(CHOOSE($Z$1,'Instance 1 (Base)'!A14,'Instance 2 (No Discount)'!A14,'Instance 3 (Carryover)'!A14,'Instance 4 (Sensitivity)'!A14,'Instance 5 (Large)'!A17)="","",CHOOSE($Z$1,'Instance 1 (Base)'!A14,'Instance 2 (No Discount)'!A14,'Instance 3 (Carryover)'!A14,'Instance 4 (Sensitivity)'!A14,'Instance 5 (Large)'!A17))</f>
        <v/>
      </c>
      <c r="B17" s="62">
        <f>IF(OR($A17="",B$14=""),"",CHOOSE($Z$1,'Instance 1 (Base)'!B14,'Instance 2 (No Discount)'!B14,'Instance 3 (Carryover)'!B14,'Instance 4 (Sensitivity)'!B14,'Instance 5 (Large)'!B17))</f>
        <v/>
      </c>
      <c r="C17" s="62">
        <f>IF(OR($A17="",C$14=""),"",CHOOSE($Z$1,'Instance 1 (Base)'!C14,'Instance 2 (No Discount)'!C14,'Instance 3 (Carryover)'!C14,'Instance 4 (Sensitivity)'!C14,'Instance 5 (Large)'!C17))</f>
        <v/>
      </c>
      <c r="D17" s="62">
        <f>IF(OR($A17="",D$14=""),"",CHOOSE($Z$1,'Instance 1 (Base)'!D14,'Instance 2 (No Discount)'!D14,'Instance 3 (Carryover)'!D14,'Instance 4 (Sensitivity)'!D14,'Instance 5 (Large)'!D17))</f>
        <v/>
      </c>
      <c r="E17" s="62">
        <f>IF(OR($A17="",E$14=""),"",CHOOSE($Z$1,'Instance 1 (Base)'!E14,'Instance 2 (No Discount)'!E14,'Instance 3 (Carryover)'!E14,'Instance 4 (Sensitivity)'!E14,'Instance 5 (Large)'!E17))</f>
        <v/>
      </c>
      <c r="F17" s="62">
        <f>IF(OR($A17="",F$14=""),"",CHOOSE($Z$1,'Instance 1 (Base)'!F14,'Instance 2 (No Discount)'!F14,'Instance 3 (Carryover)'!F14,'Instance 4 (Sensitivity)'!F14,'Instance 5 (Large)'!F17))</f>
        <v/>
      </c>
      <c r="G17" s="62">
        <f>IF(OR($A17="",G$14=""),"",CHOOSE($Z$1,'Instance 1 (Base)'!G14,'Instance 2 (No Discount)'!G14,'Instance 3 (Carryover)'!G14,'Instance 4 (Sensitivity)'!G14,'Instance 5 (Large)'!G17))</f>
        <v/>
      </c>
      <c r="H17" s="61" t="n"/>
      <c r="I17" s="61" t="n"/>
      <c r="J17" s="61" t="n"/>
    </row>
    <row r="18">
      <c r="A18" s="61">
        <f>IF(CHOOSE($Z$1,"","","","",'Instance 5 (Large)'!A18)="","",CHOOSE($Z$1,"","","","",'Instance 5 (Large)'!A18))</f>
        <v/>
      </c>
      <c r="B18" s="62">
        <f>IF(OR($A18="",B$14=""),"",CHOOSE($Z$1,"","","","",'Instance 5 (Large)'!B18))</f>
        <v/>
      </c>
      <c r="C18" s="62">
        <f>IF(OR($A18="",C$14=""),"",CHOOSE($Z$1,"","","","",'Instance 5 (Large)'!C18))</f>
        <v/>
      </c>
      <c r="D18" s="62">
        <f>IF(OR($A18="",D$14=""),"",CHOOSE($Z$1,"","","","",'Instance 5 (Large)'!D18))</f>
        <v/>
      </c>
      <c r="E18" s="62">
        <f>IF(OR($A18="",E$14=""),"",CHOOSE($Z$1,"","","","",'Instance 5 (Large)'!E18))</f>
        <v/>
      </c>
      <c r="F18" s="62">
        <f>IF(OR($A18="",F$14=""),"",CHOOSE($Z$1,"","","","",'Instance 5 (Large)'!F18))</f>
        <v/>
      </c>
      <c r="G18" s="62">
        <f>IF(OR($A18="",G$14=""),"",CHOOSE($Z$1,"","","","",'Instance 5 (Large)'!G18))</f>
        <v/>
      </c>
      <c r="H18" s="61" t="n"/>
      <c r="I18" s="61" t="n"/>
      <c r="J18" s="61" t="n"/>
    </row>
    <row r="19">
      <c r="A19" s="61">
        <f>IF(CHOOSE($Z$1,"","","","",'Instance 5 (Large)'!A19)="","",CHOOSE($Z$1,"","","","",'Instance 5 (Large)'!A19))</f>
        <v/>
      </c>
      <c r="B19" s="62">
        <f>IF(OR($A19="",B$14=""),"",CHOOSE($Z$1,"","","","",'Instance 5 (Large)'!B19))</f>
        <v/>
      </c>
      <c r="C19" s="62">
        <f>IF(OR($A19="",C$14=""),"",CHOOSE($Z$1,"","","","",'Instance 5 (Large)'!C19))</f>
        <v/>
      </c>
      <c r="D19" s="62">
        <f>IF(OR($A19="",D$14=""),"",CHOOSE($Z$1,"","","","",'Instance 5 (Large)'!D19))</f>
        <v/>
      </c>
      <c r="E19" s="62">
        <f>IF(OR($A19="",E$14=""),"",CHOOSE($Z$1,"","","","",'Instance 5 (Large)'!E19))</f>
        <v/>
      </c>
      <c r="F19" s="62">
        <f>IF(OR($A19="",F$14=""),"",CHOOSE($Z$1,"","","","",'Instance 5 (Large)'!F19))</f>
        <v/>
      </c>
      <c r="G19" s="62">
        <f>IF(OR($A19="",G$14=""),"",CHOOSE($Z$1,"","","","",'Instance 5 (Large)'!G19))</f>
        <v/>
      </c>
      <c r="H19" s="61" t="n"/>
      <c r="I19" s="61" t="n"/>
      <c r="J19" s="61" t="n"/>
    </row>
    <row r="20">
      <c r="A20" s="61">
        <f>IF(CHOOSE($Z$1,"","","","",'Instance 5 (Large)'!A20)="","",CHOOSE($Z$1,"","","","",'Instance 5 (Large)'!A20))</f>
        <v/>
      </c>
      <c r="B20" s="62">
        <f>IF(OR($A20="",B$14=""),"",CHOOSE($Z$1,"","","","",'Instance 5 (Large)'!B20))</f>
        <v/>
      </c>
      <c r="C20" s="62">
        <f>IF(OR($A20="",C$14=""),"",CHOOSE($Z$1,"","","","",'Instance 5 (Large)'!C20))</f>
        <v/>
      </c>
      <c r="D20" s="62">
        <f>IF(OR($A20="",D$14=""),"",CHOOSE($Z$1,"","","","",'Instance 5 (Large)'!D20))</f>
        <v/>
      </c>
      <c r="E20" s="62">
        <f>IF(OR($A20="",E$14=""),"",CHOOSE($Z$1,"","","","",'Instance 5 (Large)'!E20))</f>
        <v/>
      </c>
      <c r="F20" s="62">
        <f>IF(OR($A20="",F$14=""),"",CHOOSE($Z$1,"","","","",'Instance 5 (Large)'!F20))</f>
        <v/>
      </c>
      <c r="G20" s="62">
        <f>IF(OR($A20="",G$14=""),"",CHOOSE($Z$1,"","","","",'Instance 5 (Large)'!G20))</f>
        <v/>
      </c>
      <c r="H20" s="61" t="n"/>
      <c r="I20" s="61" t="n"/>
      <c r="J20" s="61" t="n"/>
    </row>
    <row r="21" ht="15.75" customHeight="1" s="64">
      <c r="A21" s="61" t="n"/>
      <c r="B21" s="61" t="n"/>
      <c r="C21" s="61" t="n"/>
      <c r="D21" s="61" t="n"/>
      <c r="E21" s="61" t="n"/>
      <c r="F21" s="61" t="n"/>
      <c r="G21" s="61" t="n"/>
      <c r="H21" s="61" t="n"/>
      <c r="I21" s="61" t="n"/>
      <c r="J21" s="61" t="n"/>
    </row>
    <row r="22" ht="15.75" customHeight="1" s="64">
      <c r="A22" s="55" t="inlineStr">
        <is>
          <t>Ingredient parameters</t>
        </is>
      </c>
      <c r="J22" s="61" t="n"/>
    </row>
    <row r="23" ht="15.75" customHeight="1" s="64">
      <c r="A23" s="60" t="inlineStr">
        <is>
          <t>Ingredient</t>
        </is>
      </c>
      <c r="B23" s="60" t="inlineStr">
        <is>
          <t>Regular cost</t>
        </is>
      </c>
      <c r="C23" s="60" t="inlineStr">
        <is>
          <t>Discount cost</t>
        </is>
      </c>
      <c r="D23" s="60" t="inlineStr">
        <is>
          <t>Min qty</t>
        </is>
      </c>
      <c r="E23" s="60" t="inlineStr">
        <is>
          <t>Shelf life</t>
        </is>
      </c>
      <c r="F23" s="60" t="inlineStr">
        <is>
          <t>Holding cost</t>
        </is>
      </c>
      <c r="G23" s="60" t="inlineStr">
        <is>
          <t>Waste cost</t>
        </is>
      </c>
      <c r="H23" s="60" t="inlineStr">
        <is>
          <t>Discount saving %</t>
        </is>
      </c>
      <c r="I23" s="60" t="inlineStr">
        <is>
          <t>w / h</t>
        </is>
      </c>
      <c r="J23" s="61" t="n"/>
    </row>
    <row r="24" ht="15.75" customHeight="1" s="64">
      <c r="A24" s="61">
        <f>IF(CHOOSE($Z$1,'Instance 1 (Base)'!A18,'Instance 2 (No Discount)'!A18,'Instance 3 (Carryover)'!A18,'Instance 4 (Sensitivity)'!A18,'Instance 5 (Large)'!A24)="","",CHOOSE($Z$1,'Instance 1 (Base)'!A18,'Instance 2 (No Discount)'!A18,'Instance 3 (Carryover)'!A18,'Instance 4 (Sensitivity)'!A18,'Instance 5 (Large)'!A24))</f>
        <v/>
      </c>
      <c r="B24" s="62">
        <f>IF($A24="","",CHOOSE($Z$1,'Instance 1 (Base)'!B18,'Instance 2 (No Discount)'!B18,'Instance 3 (Carryover)'!B18,'Instance 4 (Sensitivity)'!B18,'Instance 5 (Large)'!B24))</f>
        <v/>
      </c>
      <c r="C24" s="62">
        <f>IF($A24="","",CHOOSE($Z$1,'Instance 1 (Base)'!C18,'Instance 2 (No Discount)'!C18,'Instance 3 (Carryover)'!C18,'Instance 4 (Sensitivity)'!C18,'Instance 5 (Large)'!C24))</f>
        <v/>
      </c>
      <c r="D24" s="62">
        <f>IF($A24="","",CHOOSE($Z$1,'Instance 1 (Base)'!D18,'Instance 2 (No Discount)'!D18,'Instance 3 (Carryover)'!D18,'Instance 4 (Sensitivity)'!D18,'Instance 5 (Large)'!D24))</f>
        <v/>
      </c>
      <c r="E24" s="62">
        <f>IF($A24="","",CHOOSE($Z$1,'Instance 1 (Base)'!E18,'Instance 2 (No Discount)'!E18,'Instance 3 (Carryover)'!E18,'Instance 4 (Sensitivity)'!E18,'Instance 5 (Large)'!E24))</f>
        <v/>
      </c>
      <c r="F24" s="62">
        <f>IF($A24="","",CHOOSE($Z$1,'Instance 1 (Base)'!F18,'Instance 2 (No Discount)'!F18,'Instance 3 (Carryover)'!F18,'Instance 4 (Sensitivity)'!F18,'Instance 5 (Large)'!F24))</f>
        <v/>
      </c>
      <c r="G24" s="62">
        <f>IF($A24="","",CHOOSE($Z$1,'Instance 1 (Base)'!G18,'Instance 2 (No Discount)'!G18,'Instance 3 (Carryover)'!G18,'Instance 4 (Sensitivity)'!G18,'Instance 5 (Large)'!G24))</f>
        <v/>
      </c>
      <c r="H24" s="63">
        <f>IF($A24="","",IF(B24=0,"",(B24-C24)/B24))</f>
        <v/>
      </c>
      <c r="I24" s="62">
        <f>IF($A24="","",IF(F24=0,"",G24/F24))</f>
        <v/>
      </c>
      <c r="J24" s="61" t="n"/>
    </row>
    <row r="25" ht="15.75" customHeight="1" s="64">
      <c r="A25" s="61">
        <f>IF(CHOOSE($Z$1,'Instance 1 (Base)'!A19,'Instance 2 (No Discount)'!A19,'Instance 3 (Carryover)'!A19,'Instance 4 (Sensitivity)'!A19,'Instance 5 (Large)'!A25)="","",CHOOSE($Z$1,'Instance 1 (Base)'!A19,'Instance 2 (No Discount)'!A19,'Instance 3 (Carryover)'!A19,'Instance 4 (Sensitivity)'!A19,'Instance 5 (Large)'!A25))</f>
        <v/>
      </c>
      <c r="B25" s="62">
        <f>IF($A25="","",CHOOSE($Z$1,'Instance 1 (Base)'!B19,'Instance 2 (No Discount)'!B19,'Instance 3 (Carryover)'!B19,'Instance 4 (Sensitivity)'!B19,'Instance 5 (Large)'!B25))</f>
        <v/>
      </c>
      <c r="C25" s="62">
        <f>IF($A25="","",CHOOSE($Z$1,'Instance 1 (Base)'!C19,'Instance 2 (No Discount)'!C19,'Instance 3 (Carryover)'!C19,'Instance 4 (Sensitivity)'!C19,'Instance 5 (Large)'!C25))</f>
        <v/>
      </c>
      <c r="D25" s="62">
        <f>IF($A25="","",CHOOSE($Z$1,'Instance 1 (Base)'!D19,'Instance 2 (No Discount)'!D19,'Instance 3 (Carryover)'!D19,'Instance 4 (Sensitivity)'!D19,'Instance 5 (Large)'!D25))</f>
        <v/>
      </c>
      <c r="E25" s="62">
        <f>IF($A25="","",CHOOSE($Z$1,'Instance 1 (Base)'!E19,'Instance 2 (No Discount)'!E19,'Instance 3 (Carryover)'!E19,'Instance 4 (Sensitivity)'!E19,'Instance 5 (Large)'!E25))</f>
        <v/>
      </c>
      <c r="F25" s="62">
        <f>IF($A25="","",CHOOSE($Z$1,'Instance 1 (Base)'!F19,'Instance 2 (No Discount)'!F19,'Instance 3 (Carryover)'!F19,'Instance 4 (Sensitivity)'!F19,'Instance 5 (Large)'!F25))</f>
        <v/>
      </c>
      <c r="G25" s="62">
        <f>IF($A25="","",CHOOSE($Z$1,'Instance 1 (Base)'!G19,'Instance 2 (No Discount)'!G19,'Instance 3 (Carryover)'!G19,'Instance 4 (Sensitivity)'!G19,'Instance 5 (Large)'!G25))</f>
        <v/>
      </c>
      <c r="H25" s="63">
        <f>IF($A25="","",IF(B25=0,"",(B25-C25)/B25))</f>
        <v/>
      </c>
      <c r="I25" s="62">
        <f>IF($A25="","",IF(F25=0,"",G25/F25))</f>
        <v/>
      </c>
      <c r="J25" s="61" t="n"/>
    </row>
    <row r="26" ht="15.75" customHeight="1" s="64">
      <c r="A26" s="61">
        <f>IF(CHOOSE($Z$1,'Instance 1 (Base)'!A20,'Instance 2 (No Discount)'!A20,'Instance 3 (Carryover)'!A20,'Instance 4 (Sensitivity)'!A20,'Instance 5 (Large)'!A26)="","",CHOOSE($Z$1,'Instance 1 (Base)'!A20,'Instance 2 (No Discount)'!A20,'Instance 3 (Carryover)'!A20,'Instance 4 (Sensitivity)'!A20,'Instance 5 (Large)'!A26))</f>
        <v/>
      </c>
      <c r="B26" s="62">
        <f>IF($A26="","",CHOOSE($Z$1,'Instance 1 (Base)'!B20,'Instance 2 (No Discount)'!B20,'Instance 3 (Carryover)'!B20,'Instance 4 (Sensitivity)'!B20,'Instance 5 (Large)'!B26))</f>
        <v/>
      </c>
      <c r="C26" s="62">
        <f>IF($A26="","",CHOOSE($Z$1,'Instance 1 (Base)'!C20,'Instance 2 (No Discount)'!C20,'Instance 3 (Carryover)'!C20,'Instance 4 (Sensitivity)'!C20,'Instance 5 (Large)'!C26))</f>
        <v/>
      </c>
      <c r="D26" s="62">
        <f>IF($A26="","",CHOOSE($Z$1,'Instance 1 (Base)'!D20,'Instance 2 (No Discount)'!D20,'Instance 3 (Carryover)'!D20,'Instance 4 (Sensitivity)'!D20,'Instance 5 (Large)'!D26))</f>
        <v/>
      </c>
      <c r="E26" s="62">
        <f>IF($A26="","",CHOOSE($Z$1,'Instance 1 (Base)'!E20,'Instance 2 (No Discount)'!E20,'Instance 3 (Carryover)'!E20,'Instance 4 (Sensitivity)'!E20,'Instance 5 (Large)'!E26))</f>
        <v/>
      </c>
      <c r="F26" s="62">
        <f>IF($A26="","",CHOOSE($Z$1,'Instance 1 (Base)'!F20,'Instance 2 (No Discount)'!F20,'Instance 3 (Carryover)'!F20,'Instance 4 (Sensitivity)'!F20,'Instance 5 (Large)'!F26))</f>
        <v/>
      </c>
      <c r="G26" s="62">
        <f>IF($A26="","",CHOOSE($Z$1,'Instance 1 (Base)'!G20,'Instance 2 (No Discount)'!G20,'Instance 3 (Carryover)'!G20,'Instance 4 (Sensitivity)'!G20,'Instance 5 (Large)'!G26))</f>
        <v/>
      </c>
      <c r="H26" s="63">
        <f>IF($A26="","",IF(B26=0,"",(B26-C26)/B26))</f>
        <v/>
      </c>
      <c r="I26" s="62">
        <f>IF($A26="","",IF(F26=0,"",G26/F26))</f>
        <v/>
      </c>
      <c r="J26" s="61" t="n"/>
    </row>
    <row r="27" ht="15.75" customHeight="1" s="64">
      <c r="A27" s="61">
        <f>IF(CHOOSE($Z$1,'Instance 1 (Base)'!A21,'Instance 2 (No Discount)'!A21,'Instance 3 (Carryover)'!A21,'Instance 4 (Sensitivity)'!A21,'Instance 5 (Large)'!A27)="","",CHOOSE($Z$1,'Instance 1 (Base)'!A21,'Instance 2 (No Discount)'!A21,'Instance 3 (Carryover)'!A21,'Instance 4 (Sensitivity)'!A21,'Instance 5 (Large)'!A27))</f>
        <v/>
      </c>
      <c r="B27" s="62">
        <f>IF($A27="","",CHOOSE($Z$1,'Instance 1 (Base)'!B21,'Instance 2 (No Discount)'!B21,'Instance 3 (Carryover)'!B21,'Instance 4 (Sensitivity)'!B21,'Instance 5 (Large)'!B27))</f>
        <v/>
      </c>
      <c r="C27" s="62">
        <f>IF($A27="","",CHOOSE($Z$1,'Instance 1 (Base)'!C21,'Instance 2 (No Discount)'!C21,'Instance 3 (Carryover)'!C21,'Instance 4 (Sensitivity)'!C21,'Instance 5 (Large)'!C27))</f>
        <v/>
      </c>
      <c r="D27" s="62">
        <f>IF($A27="","",CHOOSE($Z$1,'Instance 1 (Base)'!D21,'Instance 2 (No Discount)'!D21,'Instance 3 (Carryover)'!D21,'Instance 4 (Sensitivity)'!D21,'Instance 5 (Large)'!D27))</f>
        <v/>
      </c>
      <c r="E27" s="62">
        <f>IF($A27="","",CHOOSE($Z$1,'Instance 1 (Base)'!E21,'Instance 2 (No Discount)'!E21,'Instance 3 (Carryover)'!E21,'Instance 4 (Sensitivity)'!E21,'Instance 5 (Large)'!E27))</f>
        <v/>
      </c>
      <c r="F27" s="62">
        <f>IF($A27="","",CHOOSE($Z$1,'Instance 1 (Base)'!F21,'Instance 2 (No Discount)'!F21,'Instance 3 (Carryover)'!F21,'Instance 4 (Sensitivity)'!F21,'Instance 5 (Large)'!F27))</f>
        <v/>
      </c>
      <c r="G27" s="62">
        <f>IF($A27="","",CHOOSE($Z$1,'Instance 1 (Base)'!G21,'Instance 2 (No Discount)'!G21,'Instance 3 (Carryover)'!G21,'Instance 4 (Sensitivity)'!G21,'Instance 5 (Large)'!G27))</f>
        <v/>
      </c>
      <c r="H27" s="63">
        <f>IF($A27="","",IF(B27=0,"",(B27-C27)/B27))</f>
        <v/>
      </c>
      <c r="I27" s="62">
        <f>IF($A27="","",IF(F27=0,"",G27/F27))</f>
        <v/>
      </c>
      <c r="J27" s="61" t="n"/>
    </row>
    <row r="28" ht="15.75" customHeight="1" s="64">
      <c r="A28" s="61">
        <f>IF(CHOOSE($Z$1,"","","","",'Instance 5 (Large)'!A28)="","",CHOOSE($Z$1,"","","","",'Instance 5 (Large)'!A28))</f>
        <v/>
      </c>
      <c r="B28" s="62">
        <f>IF($A28="","",CHOOSE($Z$1,"","","","",'Instance 5 (Large)'!B28))</f>
        <v/>
      </c>
      <c r="C28" s="62">
        <f>IF($A28="","",CHOOSE($Z$1,"","","","",'Instance 5 (Large)'!C28))</f>
        <v/>
      </c>
      <c r="D28" s="62">
        <f>IF($A28="","",CHOOSE($Z$1,"","","","",'Instance 5 (Large)'!D28))</f>
        <v/>
      </c>
      <c r="E28" s="62">
        <f>IF($A28="","",CHOOSE($Z$1,"","","","",'Instance 5 (Large)'!E28))</f>
        <v/>
      </c>
      <c r="F28" s="62">
        <f>IF($A28="","",CHOOSE($Z$1,"","","","",'Instance 5 (Large)'!F28))</f>
        <v/>
      </c>
      <c r="G28" s="62">
        <f>IF($A28="","",CHOOSE($Z$1,"","","","",'Instance 5 (Large)'!G28))</f>
        <v/>
      </c>
      <c r="H28" s="63">
        <f>IF($A28="","",IF(B28=0,"",(B28-C28)/B28))</f>
        <v/>
      </c>
      <c r="I28" s="62">
        <f>IF($A28="","",IF(F28=0,"",G28/F28))</f>
        <v/>
      </c>
      <c r="J28" s="61" t="n"/>
    </row>
    <row r="29" ht="15.75" customHeight="1" s="64">
      <c r="A29" s="61">
        <f>IF(CHOOSE($Z$1,"","","","",'Instance 5 (Large)'!A29)="","",CHOOSE($Z$1,"","","","",'Instance 5 (Large)'!A29))</f>
        <v/>
      </c>
      <c r="B29" s="62">
        <f>IF($A29="","",CHOOSE($Z$1,"","","","",'Instance 5 (Large)'!B29))</f>
        <v/>
      </c>
      <c r="C29" s="62">
        <f>IF($A29="","",CHOOSE($Z$1,"","","","",'Instance 5 (Large)'!C29))</f>
        <v/>
      </c>
      <c r="D29" s="62">
        <f>IF($A29="","",CHOOSE($Z$1,"","","","",'Instance 5 (Large)'!D29))</f>
        <v/>
      </c>
      <c r="E29" s="62">
        <f>IF($A29="","",CHOOSE($Z$1,"","","","",'Instance 5 (Large)'!E29))</f>
        <v/>
      </c>
      <c r="F29" s="62">
        <f>IF($A29="","",CHOOSE($Z$1,"","","","",'Instance 5 (Large)'!F29))</f>
        <v/>
      </c>
      <c r="G29" s="62">
        <f>IF($A29="","",CHOOSE($Z$1,"","","","",'Instance 5 (Large)'!G29))</f>
        <v/>
      </c>
      <c r="H29" s="63">
        <f>IF($A29="","",IF(B29=0,"",(B29-C29)/B29))</f>
        <v/>
      </c>
      <c r="I29" s="62">
        <f>IF($A29="","",IF(F29=0,"",G29/F29))</f>
        <v/>
      </c>
      <c r="J29" s="61" t="n"/>
    </row>
    <row r="30" ht="15.75" customHeight="1" s="64">
      <c r="A30" s="61" t="n"/>
      <c r="B30" s="61" t="n"/>
      <c r="C30" s="61" t="n"/>
      <c r="D30" s="61" t="n"/>
      <c r="E30" s="61" t="n"/>
      <c r="F30" s="61" t="n"/>
      <c r="G30" s="61" t="n"/>
      <c r="H30" s="61" t="n"/>
      <c r="I30" s="61" t="n"/>
      <c r="J30" s="61" t="n"/>
    </row>
    <row r="31" ht="15.75" customHeight="1" s="64">
      <c r="A31" s="55" t="inlineStr">
        <is>
          <t>Ingredient demand</t>
        </is>
      </c>
      <c r="F31" s="61" t="n"/>
      <c r="G31" s="61" t="n"/>
      <c r="H31" s="61" t="n"/>
      <c r="I31" s="61" t="n"/>
      <c r="J31" s="61" t="n"/>
    </row>
    <row r="32" ht="15.75" customHeight="1" s="64">
      <c r="A32" s="60" t="inlineStr">
        <is>
          <t>Ingredient</t>
        </is>
      </c>
      <c r="B32" s="60" t="inlineStr">
        <is>
          <t>Week 1</t>
        </is>
      </c>
      <c r="C32" s="60" t="inlineStr">
        <is>
          <t>Week 2</t>
        </is>
      </c>
      <c r="D32" s="60" t="inlineStr">
        <is>
          <t>Week 3</t>
        </is>
      </c>
      <c r="E32" s="60" t="inlineStr">
        <is>
          <t>Week 4</t>
        </is>
      </c>
      <c r="F32" s="61" t="n"/>
      <c r="G32" s="61" t="n"/>
      <c r="H32" s="61" t="n"/>
      <c r="I32" s="61" t="n"/>
      <c r="J32" s="61" t="n"/>
    </row>
    <row r="33" ht="15.75" customHeight="1" s="64">
      <c r="A33" s="61">
        <f t="array" ref="A33">IF(INDEX($A$24:$A$29,1)="","",INDEX($A$24:$A$29,1))</f>
        <v/>
      </c>
      <c r="B33" s="62">
        <f>IF($A33="","",SUMPRODUCT(B$6:B$11,B$15:B$20))</f>
        <v/>
      </c>
      <c r="C33" s="62">
        <f>IF($A33="","",SUMPRODUCT(C$6:C$11,B$15:B$20))</f>
        <v/>
      </c>
      <c r="D33" s="62">
        <f>IF($A33="","",SUMPRODUCT(D$6:D$11,B$15:B$20))</f>
        <v/>
      </c>
      <c r="E33" s="62">
        <f>IF($A33="","",SUMPRODUCT(E$6:E$11,B$15:B$20))</f>
        <v/>
      </c>
      <c r="F33" s="61" t="n"/>
      <c r="G33" s="61" t="n"/>
      <c r="H33" s="61" t="n"/>
      <c r="I33" s="61" t="n"/>
      <c r="J33" s="61" t="n"/>
    </row>
    <row r="34" ht="15.75" customHeight="1" s="64">
      <c r="A34" s="61">
        <f t="array" ref="A34">IF(INDEX($A$24:$A$29,2)="","",INDEX($A$24:$A$29,2))</f>
        <v/>
      </c>
      <c r="B34" s="62">
        <f>IF($A34="","",SUMPRODUCT(B$6:B$11,C$15:C$20))</f>
        <v/>
      </c>
      <c r="C34" s="62">
        <f>IF($A34="","",SUMPRODUCT(C$6:C$11,C$15:C$20))</f>
        <v/>
      </c>
      <c r="D34" s="62">
        <f>IF($A34="","",SUMPRODUCT(D$6:D$11,C$15:C$20))</f>
        <v/>
      </c>
      <c r="E34" s="62">
        <f>IF($A34="","",SUMPRODUCT(E$6:E$11,C$15:C$20))</f>
        <v/>
      </c>
      <c r="F34" s="61" t="n"/>
      <c r="G34" s="61" t="n"/>
      <c r="H34" s="61" t="n"/>
      <c r="I34" s="61" t="n"/>
      <c r="J34" s="61" t="n"/>
    </row>
    <row r="35" ht="15.75" customHeight="1" s="64">
      <c r="A35" s="61">
        <f t="array" ref="A35">IF(INDEX($A$24:$A$29,3)="","",INDEX($A$24:$A$29,3))</f>
        <v/>
      </c>
      <c r="B35" s="62">
        <f>IF($A35="","",SUMPRODUCT(B$6:B$11,D$15:D$20))</f>
        <v/>
      </c>
      <c r="C35" s="62">
        <f>IF($A35="","",SUMPRODUCT(C$6:C$11,D$15:D$20))</f>
        <v/>
      </c>
      <c r="D35" s="62">
        <f>IF($A35="","",SUMPRODUCT(D$6:D$11,D$15:D$20))</f>
        <v/>
      </c>
      <c r="E35" s="62">
        <f>IF($A35="","",SUMPRODUCT(E$6:E$11,D$15:D$20))</f>
        <v/>
      </c>
      <c r="F35" s="61" t="n"/>
      <c r="G35" s="61" t="n"/>
      <c r="H35" s="61" t="n"/>
      <c r="I35" s="61" t="n"/>
      <c r="J35" s="61" t="n"/>
    </row>
    <row r="36" ht="15.75" customHeight="1" s="64">
      <c r="A36" s="61">
        <f t="array" ref="A36">IF(INDEX($A$24:$A$29,4)="","",INDEX($A$24:$A$29,4))</f>
        <v/>
      </c>
      <c r="B36" s="62">
        <f>IF($A36="","",SUMPRODUCT(B$6:B$11,E$15:E$20))</f>
        <v/>
      </c>
      <c r="C36" s="62">
        <f>IF($A36="","",SUMPRODUCT(C$6:C$11,E$15:E$20))</f>
        <v/>
      </c>
      <c r="D36" s="62">
        <f>IF($A36="","",SUMPRODUCT(D$6:D$11,E$15:E$20))</f>
        <v/>
      </c>
      <c r="E36" s="62">
        <f>IF($A36="","",SUMPRODUCT(E$6:E$11,E$15:E$20))</f>
        <v/>
      </c>
      <c r="F36" s="61" t="n"/>
      <c r="G36" s="61" t="n"/>
      <c r="H36" s="61" t="n"/>
      <c r="I36" s="61" t="n"/>
      <c r="J36" s="61" t="n"/>
    </row>
    <row r="37" ht="15.75" customHeight="1" s="64">
      <c r="A37" s="61">
        <f t="array" ref="A37">IF(INDEX($A$24:$A$29,5)="","",INDEX($A$24:$A$29,5))</f>
        <v/>
      </c>
      <c r="B37" s="62">
        <f>IF($A37="","",SUMPRODUCT(B$6:B$11,F$15:F$20))</f>
        <v/>
      </c>
      <c r="C37" s="62">
        <f>IF($A37="","",SUMPRODUCT(C$6:C$11,F$15:F$20))</f>
        <v/>
      </c>
      <c r="D37" s="62">
        <f>IF($A37="","",SUMPRODUCT(D$6:D$11,F$15:F$20))</f>
        <v/>
      </c>
      <c r="E37" s="62">
        <f>IF($A37="","",SUMPRODUCT(E$6:E$11,F$15:F$20))</f>
        <v/>
      </c>
      <c r="F37" s="61" t="n"/>
      <c r="G37" s="61" t="n"/>
      <c r="H37" s="61" t="n"/>
      <c r="I37" s="61" t="n"/>
      <c r="J37" s="61" t="n"/>
    </row>
    <row r="38" ht="15.75" customHeight="1" s="64">
      <c r="A38" s="61">
        <f t="array" ref="A38">IF(INDEX($A$24:$A$29,6)="","",INDEX($A$24:$A$29,6))</f>
        <v/>
      </c>
      <c r="B38" s="62">
        <f>IF($A38="","",SUMPRODUCT(B$6:B$11,G$15:G$20))</f>
        <v/>
      </c>
      <c r="C38" s="62">
        <f>IF($A38="","",SUMPRODUCT(C$6:C$11,G$15:G$20))</f>
        <v/>
      </c>
      <c r="D38" s="62">
        <f>IF($A38="","",SUMPRODUCT(D$6:D$11,G$15:G$20))</f>
        <v/>
      </c>
      <c r="E38" s="62">
        <f>IF($A38="","",SUMPRODUCT(E$6:E$11,G$15:G$20))</f>
        <v/>
      </c>
      <c r="F38" s="61" t="n"/>
      <c r="G38" s="61" t="n"/>
      <c r="H38" s="61" t="n"/>
      <c r="I38" s="61" t="n"/>
      <c r="J38" s="61" t="n"/>
    </row>
    <row r="39" ht="15.75" customHeight="1" s="64">
      <c r="A39" s="61" t="n"/>
      <c r="B39" s="61" t="n"/>
      <c r="C39" s="61" t="n"/>
      <c r="D39" s="61" t="n"/>
      <c r="E39" s="61" t="n"/>
      <c r="F39" s="61" t="n"/>
      <c r="G39" s="61" t="n"/>
      <c r="H39" s="61" t="n"/>
      <c r="I39" s="61" t="n"/>
      <c r="J39" s="61" t="n"/>
    </row>
    <row r="40" ht="15.75" customHeight="1" s="64">
      <c r="A40" s="55" t="inlineStr">
        <is>
          <t>Formula summary</t>
        </is>
      </c>
    </row>
    <row r="41" ht="15.75" customHeight="1" s="64">
      <c r="A41" s="60" t="inlineStr">
        <is>
          <t>Ingredient</t>
        </is>
      </c>
      <c r="B41" s="60" t="inlineStr">
        <is>
          <t>Total demand</t>
        </is>
      </c>
      <c r="C41" s="60" t="inlineStr">
        <is>
          <t>Max weekly demand</t>
        </is>
      </c>
      <c r="D41" s="60" t="inlineStr">
        <is>
          <t>Min qty</t>
        </is>
      </c>
      <c r="E41" s="60" t="inlineStr">
        <is>
          <t>Shelf life</t>
        </is>
      </c>
      <c r="F41" s="60" t="inlineStr">
        <is>
          <t>Recommended M</t>
        </is>
      </c>
      <c r="G41" s="60" t="inlineStr">
        <is>
          <t>Reachable</t>
        </is>
      </c>
      <c r="H41" s="60" t="inlineStr">
        <is>
          <t>Discount saving %</t>
        </is>
      </c>
      <c r="I41" s="60" t="inlineStr">
        <is>
          <t>Holding cost</t>
        </is>
      </c>
      <c r="J41" s="60" t="inlineStr">
        <is>
          <t>Waste cost</t>
        </is>
      </c>
      <c r="K41" s="113" t="inlineStr">
        <is>
          <t>Breakeven (wks)</t>
        </is>
      </c>
      <c r="L41" s="113" t="inlineStr">
        <is>
          <t>Breakeven ≤ L?</t>
        </is>
      </c>
    </row>
    <row r="42" ht="15.75" customHeight="1" s="64">
      <c r="A42" s="61">
        <f>IF(A33="","",A33)</f>
        <v/>
      </c>
      <c r="B42" s="62">
        <f>IF($A42="","",SUM(B33:E33))</f>
        <v/>
      </c>
      <c r="C42" s="62">
        <f>IF($A42="","",MAX(B33:E33))</f>
        <v/>
      </c>
      <c r="D42" s="62">
        <f>IF($A42="","",D24)</f>
        <v/>
      </c>
      <c r="E42" s="62">
        <f>IF($A42="","",E24)</f>
        <v/>
      </c>
      <c r="F42" s="62">
        <f>IF($A42="","",MAX(SUM(B33:INDEX($B33:$E33,1,MIN($E42,4))),SUM(C33:INDEX($B33:$E33,1,MIN($E42+1,4))),SUM(D33:INDEX($B33:$E33,1,MIN($E42+2,4))),E33))</f>
        <v/>
      </c>
      <c r="G42" s="61">
        <f>IF($A42="","",IF(D42&lt;=F42,"Yes","No"))</f>
        <v/>
      </c>
      <c r="H42" s="63">
        <f>IF($A42="","",H24)</f>
        <v/>
      </c>
      <c r="I42" s="62">
        <f>IF($A42="","",F24)</f>
        <v/>
      </c>
      <c r="J42" s="62">
        <f>IF($A42="","",G24)</f>
        <v/>
      </c>
      <c r="K42" s="114" t="n">
        <v>2.8</v>
      </c>
      <c r="L42" s="115" t="inlineStr">
        <is>
          <t>⚠ 2.8&gt;2</t>
        </is>
      </c>
    </row>
    <row r="43" ht="15.75" customHeight="1" s="64">
      <c r="A43" s="61">
        <f>IF(A34="","",A34)</f>
        <v/>
      </c>
      <c r="B43" s="62">
        <f>IF($A43="","",SUM(B34:E34))</f>
        <v/>
      </c>
      <c r="C43" s="62">
        <f>IF($A43="","",MAX(B34:E34))</f>
        <v/>
      </c>
      <c r="D43" s="62">
        <f>IF($A43="","",D25)</f>
        <v/>
      </c>
      <c r="E43" s="62">
        <f>IF($A43="","",E25)</f>
        <v/>
      </c>
      <c r="F43" s="62">
        <f>IF($A43="","",MAX(SUM(B33:INDEX($B34:$E34,1,MIN($E43,4))),SUM(C33:INDEX($B34:$E34,1,MIN($E43+1,4))),SUM(D33:INDEX($B34:$E34,1,MIN($E43+2,4))),E34))</f>
        <v/>
      </c>
      <c r="G43" s="61">
        <f>IF($A43="","",IF(D43&lt;=F43,"Yes","No"))</f>
        <v/>
      </c>
      <c r="H43" s="63">
        <f>IF($A43="","",H25)</f>
        <v/>
      </c>
      <c r="I43" s="62">
        <f>IF($A43="","",F25)</f>
        <v/>
      </c>
      <c r="J43" s="62">
        <f>IF($A43="","",G25)</f>
        <v/>
      </c>
      <c r="K43" s="114" t="n">
        <v>3</v>
      </c>
      <c r="L43" s="116" t="inlineStr">
        <is>
          <t>N/A (L=1)</t>
        </is>
      </c>
    </row>
    <row r="44" ht="15.75" customHeight="1" s="64">
      <c r="A44" s="61">
        <f>IF(A35="","",A35)</f>
        <v/>
      </c>
      <c r="B44" s="62">
        <f>IF($A44="","",SUM(B35:E35))</f>
        <v/>
      </c>
      <c r="C44" s="62">
        <f>IF($A44="","",MAX(B35:E35))</f>
        <v/>
      </c>
      <c r="D44" s="62">
        <f>IF($A44="","",D26)</f>
        <v/>
      </c>
      <c r="E44" s="62">
        <f>IF($A44="","",E26)</f>
        <v/>
      </c>
      <c r="F44" s="62">
        <f>IF($A44="","",MAX(SUM(B33:INDEX($B35:$E35,1,MIN($E44,4))),SUM(C33:INDEX($B35:$E35,1,MIN($E44+1,4))),SUM(D33:INDEX($B35:$E35,1,MIN($E44+2,4))),E35))</f>
        <v/>
      </c>
      <c r="G44" s="61">
        <f>IF($A44="","",IF(D44&lt;=F44,"Yes","No"))</f>
        <v/>
      </c>
      <c r="H44" s="63">
        <f>IF($A44="","",H26)</f>
        <v/>
      </c>
      <c r="I44" s="62">
        <f>IF($A44="","",F26)</f>
        <v/>
      </c>
      <c r="J44" s="62">
        <f>IF($A44="","",G26)</f>
        <v/>
      </c>
      <c r="K44" s="114" t="n">
        <v>3</v>
      </c>
      <c r="L44" s="115" t="inlineStr">
        <is>
          <t>⚠ 3.0&gt;2</t>
        </is>
      </c>
    </row>
    <row r="45" ht="15.75" customHeight="1" s="64">
      <c r="A45" s="61">
        <f>IF(A36="","",A36)</f>
        <v/>
      </c>
      <c r="B45" s="62">
        <f>IF($A45="","",SUM(B36:E36))</f>
        <v/>
      </c>
      <c r="C45" s="62">
        <f>IF($A45="","",MAX(B36:E36))</f>
        <v/>
      </c>
      <c r="D45" s="62">
        <f>IF($A45="","",D27)</f>
        <v/>
      </c>
      <c r="E45" s="62">
        <f>IF($A45="","",E27)</f>
        <v/>
      </c>
      <c r="F45" s="62">
        <f>IF($A45="","",MAX(SUM(B33:INDEX($B36:$E36,1,MIN($E45,4))),SUM(C33:INDEX($B36:$E36,1,MIN($E45+1,4))),SUM(D33:INDEX($B36:$E36,1,MIN($E45+2,4))),E36))</f>
        <v/>
      </c>
      <c r="G45" s="61">
        <f>IF($A45="","",IF(D45&lt;=F45,"Yes","No"))</f>
        <v/>
      </c>
      <c r="H45" s="63">
        <f>IF($A45="","",H27)</f>
        <v/>
      </c>
      <c r="I45" s="62">
        <f>IF($A45="","",F27)</f>
        <v/>
      </c>
      <c r="J45" s="62">
        <f>IF($A45="","",G27)</f>
        <v/>
      </c>
      <c r="K45" s="114" t="n">
        <v>2</v>
      </c>
      <c r="L45" s="116" t="inlineStr">
        <is>
          <t>N/A (L=1)</t>
        </is>
      </c>
    </row>
    <row r="46" ht="15.75" customHeight="1" s="64">
      <c r="A46" s="61">
        <f>IF(A37="","",A37)</f>
        <v/>
      </c>
      <c r="B46" s="62">
        <f>IF($A46="","",SUM(B37:E37))</f>
        <v/>
      </c>
      <c r="C46" s="62">
        <f>IF($A46="","",MAX(B37:E37))</f>
        <v/>
      </c>
      <c r="D46" s="62">
        <f>IF($A46="","",D28)</f>
        <v/>
      </c>
      <c r="E46" s="62">
        <f>IF($A46="","",E28)</f>
        <v/>
      </c>
      <c r="F46" s="62">
        <f>IF($A46="","",MAX(SUM(B33:INDEX($B37:$E37,1,MIN($E46,4))),SUM(C33:INDEX($B37:$E37,1,MIN($E46+1,4))),SUM(D33:INDEX($B37:$E37,1,MIN($E46+2,4))),E37))</f>
        <v/>
      </c>
      <c r="G46" s="61">
        <f>IF($A46="","",IF(D46&lt;=F46,"Yes","No"))</f>
        <v/>
      </c>
      <c r="H46" s="63">
        <f>IF($A46="","",H28)</f>
        <v/>
      </c>
      <c r="I46" s="62">
        <f>IF($A46="","",F28)</f>
        <v/>
      </c>
      <c r="J46" s="62">
        <f>IF($A46="","",G28)</f>
        <v/>
      </c>
    </row>
    <row r="47" ht="15.75" customHeight="1" s="64">
      <c r="A47" s="61">
        <f>IF(A38="","",A38)</f>
        <v/>
      </c>
      <c r="B47" s="62">
        <f>IF($A47="","",SUM(B38:E38))</f>
        <v/>
      </c>
      <c r="C47" s="62">
        <f>IF($A47="","",MAX(B38:E38))</f>
        <v/>
      </c>
      <c r="D47" s="62">
        <f>IF($A47="","",D29)</f>
        <v/>
      </c>
      <c r="E47" s="62">
        <f>IF($A47="","",E29)</f>
        <v/>
      </c>
      <c r="F47" s="62">
        <f>IF($A47="","",MAX(SUM(B33:INDEX($B38:$E38,1,MIN($E47,4))),SUM(C33:INDEX($B38:$E38,1,MIN($E47+1,4))),SUM(D33:INDEX($B38:$E38,1,MIN($E47+2,4))),E38))</f>
        <v/>
      </c>
      <c r="G47" s="61">
        <f>IF($A47="","",IF(D47&lt;=F47,"Yes","No"))</f>
        <v/>
      </c>
      <c r="H47" s="63">
        <f>IF($A47="","",H29)</f>
        <v/>
      </c>
      <c r="I47" s="62">
        <f>IF($A47="","",F29)</f>
        <v/>
      </c>
      <c r="J47" s="62">
        <f>IF($A47="","",G29)</f>
        <v/>
      </c>
    </row>
    <row r="48" ht="15.75" customHeight="1" s="64"/>
    <row r="49" ht="15.75" customHeight="1" s="64"/>
    <row r="50" ht="15.75" customHeight="1" s="64"/>
    <row r="51" ht="15.75" customHeight="1" s="64"/>
    <row r="52" ht="15.75" customHeight="1" s="64"/>
    <row r="53" ht="15.75" customHeight="1" s="64"/>
    <row r="54" ht="15.75" customHeight="1" s="64"/>
    <row r="55" ht="15.75" customHeight="1" s="64"/>
    <row r="56" ht="15.75" customHeight="1" s="64"/>
    <row r="57" ht="15.75" customHeight="1" s="64"/>
    <row r="58" ht="15.75" customHeight="1" s="64"/>
    <row r="59" ht="15.75" customHeight="1" s="64"/>
    <row r="60" ht="15.75" customHeight="1" s="64"/>
    <row r="61" ht="15.75" customHeight="1" s="64"/>
    <row r="62" ht="15.75" customHeight="1" s="64"/>
    <row r="63" ht="15.75" customHeight="1" s="64"/>
    <row r="64" ht="15.75" customHeight="1" s="64"/>
    <row r="65" ht="15.75" customHeight="1" s="64"/>
    <row r="66" ht="15.75" customHeight="1" s="64"/>
    <row r="67" ht="15.75" customHeight="1" s="64"/>
    <row r="68" ht="15.75" customHeight="1" s="64"/>
    <row r="69" ht="15.75" customHeight="1" s="64"/>
    <row r="70" ht="15.75" customHeight="1" s="64"/>
    <row r="71" ht="15.75" customHeight="1" s="64"/>
    <row r="72" ht="15.75" customHeight="1" s="64"/>
    <row r="73" ht="15.75" customHeight="1" s="64"/>
    <row r="74" ht="15.75" customHeight="1" s="64"/>
    <row r="75" ht="15.75" customHeight="1" s="64"/>
    <row r="76" ht="15.75" customHeight="1" s="64"/>
    <row r="77" ht="15.75" customHeight="1" s="64"/>
    <row r="78" ht="15.75" customHeight="1" s="64"/>
    <row r="79" ht="15.75" customHeight="1" s="64"/>
    <row r="80" ht="15.75" customHeight="1" s="64"/>
    <row r="81" ht="15.75" customHeight="1" s="64"/>
    <row r="82" ht="15.75" customHeight="1" s="64"/>
    <row r="83" ht="15.75" customHeight="1" s="64"/>
    <row r="84" ht="15.75" customHeight="1" s="64"/>
    <row r="85" ht="15.75" customHeight="1" s="64"/>
    <row r="86" ht="15.75" customHeight="1" s="64"/>
    <row r="87" ht="15.75" customHeight="1" s="64"/>
    <row r="88" ht="15.75" customHeight="1" s="64"/>
    <row r="89" ht="15.75" customHeight="1" s="64"/>
    <row r="90" ht="15.75" customHeight="1" s="64"/>
    <row r="91" ht="15.75" customHeight="1" s="64"/>
    <row r="92" ht="15.75" customHeight="1" s="64"/>
    <row r="93" ht="15.75" customHeight="1" s="64"/>
    <row r="94" ht="15.75" customHeight="1" s="64"/>
    <row r="95" ht="15.75" customHeight="1" s="64"/>
    <row r="96" ht="15.75" customHeight="1" s="64"/>
    <row r="97" ht="15.75" customHeight="1" s="64"/>
    <row r="98" ht="15.75" customHeight="1" s="64"/>
    <row r="99" ht="15.75" customHeight="1" s="64"/>
    <row r="100" ht="15.75" customHeight="1" s="64"/>
  </sheetData>
  <mergeCells count="6">
    <mergeCell ref="A13:G13"/>
    <mergeCell ref="A1:J1"/>
    <mergeCell ref="A4:E4"/>
    <mergeCell ref="A40:J40"/>
    <mergeCell ref="A22:I22"/>
    <mergeCell ref="A31:E31"/>
  </mergeCells>
  <dataValidations count="1">
    <dataValidation sqref="B2" showDropDown="0" showInputMessage="0" showErrorMessage="0" allowBlank="1" type="list">
      <formula1>"Instance 1 (Base),Instance 2 (No Discount),Instance 3 (Carryover),Instance 4 (Sensitivity),Instance 5 (Large)"</formula1>
    </dataValidation>
  </dataValidation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ColWidth="14.43" defaultRowHeight="15" customHeight="1"/>
  <cols>
    <col width="15" customWidth="1" style="64" min="1" max="3"/>
    <col width="8.710000000000001" customWidth="1" style="64" min="4" max="4"/>
    <col width="15" customWidth="1" style="64" min="5" max="7"/>
    <col width="8.710000000000001" customWidth="1" style="64" min="8" max="8"/>
    <col width="15" customWidth="1" style="64" min="9" max="12"/>
    <col width="16" customWidth="1" style="64" min="13" max="18"/>
  </cols>
  <sheetData>
    <row r="1" ht="24" customHeight="1" s="64">
      <c r="A1" s="53" t="inlineStr">
        <is>
          <t>Gurobi Input</t>
        </is>
      </c>
    </row>
    <row r="2">
      <c r="A2" s="61" t="inlineStr">
        <is>
          <t>Instance</t>
        </is>
      </c>
      <c r="B2" s="61">
        <f>'Formula Generator'!$B$2</f>
        <v/>
      </c>
      <c r="C2" s="61" t="n"/>
      <c r="D2" s="61" t="n"/>
      <c r="E2" s="61" t="n"/>
      <c r="F2" s="61" t="n"/>
      <c r="G2" s="61" t="n"/>
      <c r="H2" s="61" t="n"/>
      <c r="I2" s="61" t="n"/>
      <c r="J2" s="61" t="n"/>
      <c r="K2" s="61" t="n"/>
      <c r="L2" s="61" t="n"/>
      <c r="M2" s="61" t="n"/>
      <c r="N2" s="61" t="n"/>
      <c r="O2" s="61" t="n"/>
      <c r="P2" s="61" t="n"/>
      <c r="Q2" s="61" t="n"/>
      <c r="R2" s="61" t="n"/>
    </row>
    <row r="3">
      <c r="A3" s="61" t="n"/>
      <c r="B3" s="61" t="n"/>
      <c r="C3" s="61" t="n"/>
      <c r="D3" s="61" t="n"/>
      <c r="E3" s="61" t="n"/>
      <c r="F3" s="61" t="n"/>
      <c r="G3" s="61" t="n"/>
      <c r="H3" s="61" t="n"/>
      <c r="I3" s="61" t="n"/>
      <c r="J3" s="61" t="n"/>
      <c r="K3" s="61" t="n"/>
      <c r="L3" s="61" t="n"/>
      <c r="M3" s="61" t="n"/>
      <c r="N3" s="61" t="n"/>
      <c r="O3" s="61" t="n"/>
      <c r="P3" s="61" t="n"/>
      <c r="Q3" s="61" t="n"/>
      <c r="R3" s="61" t="n"/>
    </row>
    <row r="4">
      <c r="A4" s="55" t="inlineStr">
        <is>
          <t>dish_demand</t>
        </is>
      </c>
      <c r="D4" s="61" t="n"/>
      <c r="E4" s="55" t="inlineStr">
        <is>
          <t>recipe</t>
        </is>
      </c>
      <c r="H4" s="61" t="n"/>
      <c r="I4" s="55" t="inlineStr">
        <is>
          <t>ingredient_params</t>
        </is>
      </c>
      <c r="P4" s="61" t="n"/>
      <c r="Q4" s="61" t="n"/>
      <c r="R4" s="61" t="n"/>
    </row>
    <row r="5">
      <c r="A5" s="60" t="inlineStr">
        <is>
          <t>week</t>
        </is>
      </c>
      <c r="B5" s="60" t="inlineStr">
        <is>
          <t>dish</t>
        </is>
      </c>
      <c r="C5" s="60" t="inlineStr">
        <is>
          <t>demand</t>
        </is>
      </c>
      <c r="D5" s="61" t="n"/>
      <c r="E5" s="60" t="inlineStr">
        <is>
          <t>dish</t>
        </is>
      </c>
      <c r="F5" s="60" t="inlineStr">
        <is>
          <t>ingredient</t>
        </is>
      </c>
      <c r="G5" s="60" t="inlineStr">
        <is>
          <t>amount</t>
        </is>
      </c>
      <c r="H5" s="61" t="n"/>
      <c r="I5" s="60" t="inlineStr">
        <is>
          <t>ingredient</t>
        </is>
      </c>
      <c r="J5" s="60" t="inlineStr">
        <is>
          <t>regular_cost</t>
        </is>
      </c>
      <c r="K5" s="60" t="inlineStr">
        <is>
          <t>discount_cost</t>
        </is>
      </c>
      <c r="L5" s="60" t="inlineStr">
        <is>
          <t>min_qty</t>
        </is>
      </c>
      <c r="M5" s="60" t="inlineStr">
        <is>
          <t>shelf_life</t>
        </is>
      </c>
      <c r="N5" s="60" t="inlineStr">
        <is>
          <t>holding_cost</t>
        </is>
      </c>
      <c r="O5" s="60" t="inlineStr">
        <is>
          <t>waste_cost</t>
        </is>
      </c>
      <c r="P5" s="61" t="n"/>
      <c r="Q5" s="61" t="n"/>
      <c r="R5" s="61" t="n"/>
    </row>
    <row r="6">
      <c r="A6" s="61">
        <f t="array" ref="A6">IF(INDEX('Formula Generator'!$A$6:$A$11,1)="","","Week 1")</f>
        <v/>
      </c>
      <c r="B6" s="61">
        <f t="array" ref="B6">IF(A6="","",INDEX('Formula Generator'!$A$6:$A$11,1))</f>
        <v/>
      </c>
      <c r="C6" s="62">
        <f t="array" ref="C6">IF(A6="","",INDEX('Formula Generator'!$B$6:$E$11,1,1))</f>
        <v/>
      </c>
      <c r="D6" s="61" t="n"/>
      <c r="E6" s="61">
        <f t="array" ref="E6">IF(INDEX('Formula Generator'!$A$15:$A$20,1)="","",INDEX('Formula Generator'!$A$15:$A$20,1))</f>
        <v/>
      </c>
      <c r="F6" s="61">
        <f t="array" ref="F6">IF(E6="","",IF(INDEX('Formula Generator'!$B$14:$G$14,1,1)="","",INDEX('Formula Generator'!$B$14:$G$14,1,1)))</f>
        <v/>
      </c>
      <c r="G6" s="62">
        <f t="array" ref="G6">IF(OR(E6="",F6=""),"",INDEX('Formula Generator'!$B$15:$G$20,1,1))</f>
        <v/>
      </c>
      <c r="H6" s="61" t="n"/>
      <c r="I6" s="61">
        <f>IF('Formula Generator'!A24="","",'Formula Generator'!A24)</f>
        <v/>
      </c>
      <c r="J6" s="62">
        <f>IF(I6="","",'Formula Generator'!B24)</f>
        <v/>
      </c>
      <c r="K6" s="62">
        <f>IF(I6="","",'Formula Generator'!C24)</f>
        <v/>
      </c>
      <c r="L6" s="62">
        <f>IF(I6="","",'Formula Generator'!D24)</f>
        <v/>
      </c>
      <c r="M6" s="62">
        <f>IF(I6="","",'Formula Generator'!E24)</f>
        <v/>
      </c>
      <c r="N6" s="62">
        <f>IF(I6="","",'Formula Generator'!F24)</f>
        <v/>
      </c>
      <c r="O6" s="62">
        <f>IF(I6="","",'Formula Generator'!G24)</f>
        <v/>
      </c>
      <c r="P6" s="61" t="n"/>
      <c r="Q6" s="61" t="n"/>
      <c r="R6" s="61" t="n"/>
    </row>
    <row r="7">
      <c r="A7" s="61">
        <f t="array" ref="A7">IF(INDEX('Formula Generator'!$A$6:$A$11,1)="","","Week 2")</f>
        <v/>
      </c>
      <c r="B7" s="61">
        <f t="array" ref="B7">IF(A7="","",INDEX('Formula Generator'!$A$6:$A$11,1))</f>
        <v/>
      </c>
      <c r="C7" s="62">
        <f t="array" ref="C7">IF(A7="","",INDEX('Formula Generator'!$B$6:$E$11,1,2))</f>
        <v/>
      </c>
      <c r="D7" s="61" t="n"/>
      <c r="E7" s="61">
        <f t="array" ref="E7">IF(INDEX('Formula Generator'!$A$15:$A$20,1)="","",INDEX('Formula Generator'!$A$15:$A$20,1))</f>
        <v/>
      </c>
      <c r="F7" s="61">
        <f t="array" ref="F7">IF(E7="","",IF(INDEX('Formula Generator'!$B$14:$G$14,1,2)="","",INDEX('Formula Generator'!$B$14:$G$14,1,2)))</f>
        <v/>
      </c>
      <c r="G7" s="62">
        <f t="array" ref="G7">IF(OR(E7="",F7=""),"",INDEX('Formula Generator'!$B$15:$G$20,1,2))</f>
        <v/>
      </c>
      <c r="H7" s="61" t="n"/>
      <c r="I7" s="61">
        <f>IF('Formula Generator'!A25="","",'Formula Generator'!A25)</f>
        <v/>
      </c>
      <c r="J7" s="62">
        <f>IF(I7="","",'Formula Generator'!B25)</f>
        <v/>
      </c>
      <c r="K7" s="62">
        <f>IF(I7="","",'Formula Generator'!C25)</f>
        <v/>
      </c>
      <c r="L7" s="62">
        <f>IF(I7="","",'Formula Generator'!D25)</f>
        <v/>
      </c>
      <c r="M7" s="62">
        <f>IF(I7="","",'Formula Generator'!E25)</f>
        <v/>
      </c>
      <c r="N7" s="62">
        <f>IF(I7="","",'Formula Generator'!F25)</f>
        <v/>
      </c>
      <c r="O7" s="62">
        <f>IF(I7="","",'Formula Generator'!G25)</f>
        <v/>
      </c>
      <c r="P7" s="61" t="n"/>
      <c r="Q7" s="61" t="n"/>
      <c r="R7" s="61" t="n"/>
    </row>
    <row r="8">
      <c r="A8" s="61">
        <f t="array" ref="A8">IF(INDEX('Formula Generator'!$A$6:$A$11,1)="","","Week 3")</f>
        <v/>
      </c>
      <c r="B8" s="61">
        <f t="array" ref="B8">IF(A8="","",INDEX('Formula Generator'!$A$6:$A$11,1))</f>
        <v/>
      </c>
      <c r="C8" s="62">
        <f t="array" ref="C8">IF(A8="","",INDEX('Formula Generator'!$B$6:$E$11,1,3))</f>
        <v/>
      </c>
      <c r="D8" s="61" t="n"/>
      <c r="E8" s="61">
        <f t="array" ref="E8">IF(INDEX('Formula Generator'!$A$15:$A$20,1)="","",INDEX('Formula Generator'!$A$15:$A$20,1))</f>
        <v/>
      </c>
      <c r="F8" s="61">
        <f t="array" ref="F8">IF(E8="","",IF(INDEX('Formula Generator'!$B$14:$G$14,1,3)="","",INDEX('Formula Generator'!$B$14:$G$14,1,3)))</f>
        <v/>
      </c>
      <c r="G8" s="62">
        <f t="array" ref="G8">IF(OR(E8="",F8=""),"",INDEX('Formula Generator'!$B$15:$G$20,1,3))</f>
        <v/>
      </c>
      <c r="H8" s="61" t="n"/>
      <c r="I8" s="61">
        <f>IF('Formula Generator'!A26="","",'Formula Generator'!A26)</f>
        <v/>
      </c>
      <c r="J8" s="62">
        <f>IF(I8="","",'Formula Generator'!B26)</f>
        <v/>
      </c>
      <c r="K8" s="62">
        <f>IF(I8="","",'Formula Generator'!C26)</f>
        <v/>
      </c>
      <c r="L8" s="62">
        <f>IF(I8="","",'Formula Generator'!D26)</f>
        <v/>
      </c>
      <c r="M8" s="62">
        <f>IF(I8="","",'Formula Generator'!E26)</f>
        <v/>
      </c>
      <c r="N8" s="62">
        <f>IF(I8="","",'Formula Generator'!F26)</f>
        <v/>
      </c>
      <c r="O8" s="62">
        <f>IF(I8="","",'Formula Generator'!G26)</f>
        <v/>
      </c>
      <c r="P8" s="61" t="n"/>
      <c r="Q8" s="61" t="n"/>
      <c r="R8" s="61" t="n"/>
    </row>
    <row r="9">
      <c r="A9" s="61">
        <f t="array" ref="A9">IF(INDEX('Formula Generator'!$A$6:$A$11,1)="","","Week 4")</f>
        <v/>
      </c>
      <c r="B9" s="61">
        <f t="array" ref="B9">IF(A9="","",INDEX('Formula Generator'!$A$6:$A$11,1))</f>
        <v/>
      </c>
      <c r="C9" s="62">
        <f t="array" ref="C9">IF(A9="","",INDEX('Formula Generator'!$B$6:$E$11,1,4))</f>
        <v/>
      </c>
      <c r="D9" s="61" t="n"/>
      <c r="E9" s="61">
        <f t="array" ref="E9">IF(INDEX('Formula Generator'!$A$15:$A$20,1)="","",INDEX('Formula Generator'!$A$15:$A$20,1))</f>
        <v/>
      </c>
      <c r="F9" s="61">
        <f t="array" ref="F9">IF(E9="","",IF(INDEX('Formula Generator'!$B$14:$G$14,1,4)="","",INDEX('Formula Generator'!$B$14:$G$14,1,4)))</f>
        <v/>
      </c>
      <c r="G9" s="62">
        <f t="array" ref="G9">IF(OR(E9="",F9=""),"",INDEX('Formula Generator'!$B$15:$G$20,1,4))</f>
        <v/>
      </c>
      <c r="H9" s="61" t="n"/>
      <c r="I9" s="61">
        <f>IF('Formula Generator'!A27="","",'Formula Generator'!A27)</f>
        <v/>
      </c>
      <c r="J9" s="62">
        <f>IF(I9="","",'Formula Generator'!B27)</f>
        <v/>
      </c>
      <c r="K9" s="62">
        <f>IF(I9="","",'Formula Generator'!C27)</f>
        <v/>
      </c>
      <c r="L9" s="62">
        <f>IF(I9="","",'Formula Generator'!D27)</f>
        <v/>
      </c>
      <c r="M9" s="62">
        <f>IF(I9="","",'Formula Generator'!E27)</f>
        <v/>
      </c>
      <c r="N9" s="62">
        <f>IF(I9="","",'Formula Generator'!F27)</f>
        <v/>
      </c>
      <c r="O9" s="62">
        <f>IF(I9="","",'Formula Generator'!G27)</f>
        <v/>
      </c>
      <c r="P9" s="61" t="n"/>
      <c r="Q9" s="61" t="n"/>
      <c r="R9" s="61" t="n"/>
    </row>
    <row r="10">
      <c r="A10" s="61">
        <f t="array" ref="A10">IF(INDEX('Formula Generator'!$A$6:$A$11,2)="","","Week 1")</f>
        <v/>
      </c>
      <c r="B10" s="61">
        <f t="array" ref="B10">IF(A10="","",INDEX('Formula Generator'!$A$6:$A$11,2))</f>
        <v/>
      </c>
      <c r="C10" s="62">
        <f t="array" ref="C10">IF(A10="","",INDEX('Formula Generator'!$B$6:$E$11,2,1))</f>
        <v/>
      </c>
      <c r="D10" s="61" t="n"/>
      <c r="E10" s="61">
        <f t="array" ref="E10">IF(INDEX('Formula Generator'!$A$15:$A$20,1)="","",INDEX('Formula Generator'!$A$15:$A$20,1))</f>
        <v/>
      </c>
      <c r="F10" s="61">
        <f t="array" ref="F10">IF(E10="","",IF(INDEX('Formula Generator'!$B$14:$G$14,1,5)="","",INDEX('Formula Generator'!$B$14:$G$14,1,5)))</f>
        <v/>
      </c>
      <c r="G10" s="62">
        <f t="array" ref="G10">IF(OR(E10="",F10=""),"",INDEX('Formula Generator'!$B$15:$G$20,1,5))</f>
        <v/>
      </c>
      <c r="H10" s="61" t="n"/>
      <c r="I10" s="61">
        <f>IF('Formula Generator'!A28="","",'Formula Generator'!A28)</f>
        <v/>
      </c>
      <c r="J10" s="62">
        <f>IF(I10="","",'Formula Generator'!B28)</f>
        <v/>
      </c>
      <c r="K10" s="62">
        <f>IF(I10="","",'Formula Generator'!C28)</f>
        <v/>
      </c>
      <c r="L10" s="62">
        <f>IF(I10="","",'Formula Generator'!D28)</f>
        <v/>
      </c>
      <c r="M10" s="62">
        <f>IF(I10="","",'Formula Generator'!E28)</f>
        <v/>
      </c>
      <c r="N10" s="62">
        <f>IF(I10="","",'Formula Generator'!F28)</f>
        <v/>
      </c>
      <c r="O10" s="62">
        <f>IF(I10="","",'Formula Generator'!G28)</f>
        <v/>
      </c>
      <c r="P10" s="61" t="n"/>
      <c r="Q10" s="61" t="n"/>
      <c r="R10" s="61" t="n"/>
    </row>
    <row r="11">
      <c r="A11" s="61">
        <f t="array" ref="A11">IF(INDEX('Formula Generator'!$A$6:$A$11,2)="","","Week 2")</f>
        <v/>
      </c>
      <c r="B11" s="61">
        <f t="array" ref="B11">IF(A11="","",INDEX('Formula Generator'!$A$6:$A$11,2))</f>
        <v/>
      </c>
      <c r="C11" s="62">
        <f t="array" ref="C11">IF(A11="","",INDEX('Formula Generator'!$B$6:$E$11,2,2))</f>
        <v/>
      </c>
      <c r="D11" s="61" t="n"/>
      <c r="E11" s="61">
        <f t="array" ref="E11">IF(INDEX('Formula Generator'!$A$15:$A$20,1)="","",INDEX('Formula Generator'!$A$15:$A$20,1))</f>
        <v/>
      </c>
      <c r="F11" s="61">
        <f t="array" ref="F11">IF(E11="","",IF(INDEX('Formula Generator'!$B$14:$G$14,1,6)="","",INDEX('Formula Generator'!$B$14:$G$14,1,6)))</f>
        <v/>
      </c>
      <c r="G11" s="62">
        <f t="array" ref="G11">IF(OR(E11="",F11=""),"",INDEX('Formula Generator'!$B$15:$G$20,1,6))</f>
        <v/>
      </c>
      <c r="H11" s="61" t="n"/>
      <c r="I11" s="61">
        <f>IF('Formula Generator'!A29="","",'Formula Generator'!A29)</f>
        <v/>
      </c>
      <c r="J11" s="62">
        <f>IF(I11="","",'Formula Generator'!B29)</f>
        <v/>
      </c>
      <c r="K11" s="62">
        <f>IF(I11="","",'Formula Generator'!C29)</f>
        <v/>
      </c>
      <c r="L11" s="62">
        <f>IF(I11="","",'Formula Generator'!D29)</f>
        <v/>
      </c>
      <c r="M11" s="62">
        <f>IF(I11="","",'Formula Generator'!E29)</f>
        <v/>
      </c>
      <c r="N11" s="62">
        <f>IF(I11="","",'Formula Generator'!F29)</f>
        <v/>
      </c>
      <c r="O11" s="62">
        <f>IF(I11="","",'Formula Generator'!G29)</f>
        <v/>
      </c>
      <c r="P11" s="61" t="n"/>
      <c r="Q11" s="61" t="n"/>
      <c r="R11" s="61" t="n"/>
    </row>
    <row r="12">
      <c r="A12" s="61">
        <f t="array" ref="A12">IF(INDEX('Formula Generator'!$A$6:$A$11,2)="","","Week 3")</f>
        <v/>
      </c>
      <c r="B12" s="61">
        <f t="array" ref="B12">IF(A12="","",INDEX('Formula Generator'!$A$6:$A$11,2))</f>
        <v/>
      </c>
      <c r="C12" s="62">
        <f t="array" ref="C12">IF(A12="","",INDEX('Formula Generator'!$B$6:$E$11,2,3))</f>
        <v/>
      </c>
      <c r="D12" s="61" t="n"/>
      <c r="E12" s="61">
        <f t="array" ref="E12">IF(INDEX('Formula Generator'!$A$15:$A$20,2)="","",INDEX('Formula Generator'!$A$15:$A$20,2))</f>
        <v/>
      </c>
      <c r="F12" s="61">
        <f t="array" ref="F12">IF(E12="","",IF(INDEX('Formula Generator'!$B$14:$G$14,1,1)="","",INDEX('Formula Generator'!$B$14:$G$14,1,1)))</f>
        <v/>
      </c>
      <c r="G12" s="62">
        <f t="array" ref="G12">IF(OR(E12="",F12=""),"",INDEX('Formula Generator'!$B$15:$G$20,2,1))</f>
        <v/>
      </c>
      <c r="H12" s="61" t="n"/>
      <c r="I12" s="61" t="n"/>
      <c r="J12" s="61" t="n"/>
      <c r="K12" s="61" t="n"/>
      <c r="L12" s="61" t="n"/>
      <c r="M12" s="61" t="n"/>
      <c r="N12" s="61" t="n"/>
      <c r="O12" s="61" t="n"/>
      <c r="P12" s="61" t="n"/>
      <c r="Q12" s="61" t="n"/>
      <c r="R12" s="61" t="n"/>
    </row>
    <row r="13">
      <c r="A13" s="61">
        <f t="array" ref="A13">IF(INDEX('Formula Generator'!$A$6:$A$11,2)="","","Week 4")</f>
        <v/>
      </c>
      <c r="B13" s="61">
        <f t="array" ref="B13">IF(A13="","",INDEX('Formula Generator'!$A$6:$A$11,2))</f>
        <v/>
      </c>
      <c r="C13" s="62">
        <f t="array" ref="C13">IF(A13="","",INDEX('Formula Generator'!$B$6:$E$11,2,4))</f>
        <v/>
      </c>
      <c r="D13" s="61" t="n"/>
      <c r="E13" s="61">
        <f t="array" ref="E13">IF(INDEX('Formula Generator'!$A$15:$A$20,2)="","",INDEX('Formula Generator'!$A$15:$A$20,2))</f>
        <v/>
      </c>
      <c r="F13" s="61">
        <f t="array" ref="F13">IF(E13="","",IF(INDEX('Formula Generator'!$B$14:$G$14,1,2)="","",INDEX('Formula Generator'!$B$14:$G$14,1,2)))</f>
        <v/>
      </c>
      <c r="G13" s="62">
        <f t="array" ref="G13">IF(OR(E13="",F13=""),"",INDEX('Formula Generator'!$B$15:$G$20,2,2))</f>
        <v/>
      </c>
      <c r="H13" s="61" t="n"/>
      <c r="I13" s="61" t="n"/>
      <c r="J13" s="61" t="n"/>
      <c r="K13" s="61" t="n"/>
      <c r="L13" s="61" t="n"/>
      <c r="M13" s="61" t="n"/>
      <c r="N13" s="61" t="n"/>
      <c r="O13" s="61" t="n"/>
      <c r="P13" s="61" t="n"/>
      <c r="Q13" s="61" t="n"/>
      <c r="R13" s="61" t="n"/>
    </row>
    <row r="14">
      <c r="A14" s="61">
        <f t="array" ref="A14">IF(INDEX('Formula Generator'!$A$6:$A$11,3)="","","Week 1")</f>
        <v/>
      </c>
      <c r="B14" s="61">
        <f t="array" ref="B14">IF(A14="","",INDEX('Formula Generator'!$A$6:$A$11,3))</f>
        <v/>
      </c>
      <c r="C14" s="62">
        <f t="array" ref="C14">IF(A14="","",INDEX('Formula Generator'!$B$6:$E$11,3,1))</f>
        <v/>
      </c>
      <c r="D14" s="61" t="n"/>
      <c r="E14" s="61">
        <f t="array" ref="E14">IF(INDEX('Formula Generator'!$A$15:$A$20,2)="","",INDEX('Formula Generator'!$A$15:$A$20,2))</f>
        <v/>
      </c>
      <c r="F14" s="61">
        <f t="array" ref="F14">IF(E14="","",IF(INDEX('Formula Generator'!$B$14:$G$14,1,3)="","",INDEX('Formula Generator'!$B$14:$G$14,1,3)))</f>
        <v/>
      </c>
      <c r="G14" s="62">
        <f t="array" ref="G14">IF(OR(E14="",F14=""),"",INDEX('Formula Generator'!$B$15:$G$20,2,3))</f>
        <v/>
      </c>
      <c r="H14" s="61" t="n"/>
      <c r="I14" s="55" t="inlineStr">
        <is>
          <t>ingredient_demand</t>
        </is>
      </c>
      <c r="L14" s="61" t="n"/>
      <c r="M14" s="55" t="inlineStr">
        <is>
          <t>ingredient_summary</t>
        </is>
      </c>
    </row>
    <row r="15">
      <c r="A15" s="61">
        <f t="array" ref="A15">IF(INDEX('Formula Generator'!$A$6:$A$11,3)="","","Week 2")</f>
        <v/>
      </c>
      <c r="B15" s="61">
        <f t="array" ref="B15">IF(A15="","",INDEX('Formula Generator'!$A$6:$A$11,3))</f>
        <v/>
      </c>
      <c r="C15" s="62">
        <f t="array" ref="C15">IF(A15="","",INDEX('Formula Generator'!$B$6:$E$11,3,2))</f>
        <v/>
      </c>
      <c r="D15" s="61" t="n"/>
      <c r="E15" s="61">
        <f t="array" ref="E15">IF(INDEX('Formula Generator'!$A$15:$A$20,2)="","",INDEX('Formula Generator'!$A$15:$A$20,2))</f>
        <v/>
      </c>
      <c r="F15" s="61">
        <f t="array" ref="F15">IF(E15="","",IF(INDEX('Formula Generator'!$B$14:$G$14,1,4)="","",INDEX('Formula Generator'!$B$14:$G$14,1,4)))</f>
        <v/>
      </c>
      <c r="G15" s="62">
        <f t="array" ref="G15">IF(OR(E15="",F15=""),"",INDEX('Formula Generator'!$B$15:$G$20,2,4))</f>
        <v/>
      </c>
      <c r="H15" s="61" t="n"/>
      <c r="I15" s="60" t="inlineStr">
        <is>
          <t>week</t>
        </is>
      </c>
      <c r="J15" s="60" t="inlineStr">
        <is>
          <t>ingredient</t>
        </is>
      </c>
      <c r="K15" s="60" t="inlineStr">
        <is>
          <t>demand</t>
        </is>
      </c>
      <c r="L15" s="61" t="n"/>
      <c r="M15" s="60" t="inlineStr">
        <is>
          <t>ingredient</t>
        </is>
      </c>
      <c r="N15" s="60" t="inlineStr">
        <is>
          <t>total_demand</t>
        </is>
      </c>
      <c r="O15" s="60" t="inlineStr">
        <is>
          <t>max_weekly_demand</t>
        </is>
      </c>
      <c r="P15" s="60" t="inlineStr">
        <is>
          <t>recommended_M</t>
        </is>
      </c>
      <c r="Q15" s="60" t="inlineStr">
        <is>
          <t>discount_saving_pct</t>
        </is>
      </c>
      <c r="R15" s="60" t="inlineStr">
        <is>
          <t>threshold_reachable</t>
        </is>
      </c>
    </row>
    <row r="16">
      <c r="A16" s="61">
        <f t="array" ref="A16">IF(INDEX('Formula Generator'!$A$6:$A$11,3)="","","Week 3")</f>
        <v/>
      </c>
      <c r="B16" s="61">
        <f t="array" ref="B16">IF(A16="","",INDEX('Formula Generator'!$A$6:$A$11,3))</f>
        <v/>
      </c>
      <c r="C16" s="62">
        <f t="array" ref="C16">IF(A16="","",INDEX('Formula Generator'!$B$6:$E$11,3,3))</f>
        <v/>
      </c>
      <c r="D16" s="61" t="n"/>
      <c r="E16" s="61">
        <f t="array" ref="E16">IF(INDEX('Formula Generator'!$A$15:$A$20,2)="","",INDEX('Formula Generator'!$A$15:$A$20,2))</f>
        <v/>
      </c>
      <c r="F16" s="61">
        <f t="array" ref="F16">IF(E16="","",IF(INDEX('Formula Generator'!$B$14:$G$14,1,5)="","",INDEX('Formula Generator'!$B$14:$G$14,1,5)))</f>
        <v/>
      </c>
      <c r="G16" s="62">
        <f t="array" ref="G16">IF(OR(E16="",F16=""),"",INDEX('Formula Generator'!$B$15:$G$20,2,5))</f>
        <v/>
      </c>
      <c r="H16" s="61" t="n"/>
      <c r="I16" s="61">
        <f t="array" ref="I16">IF(INDEX('Formula Generator'!$A$33:$A$38,1)="","","Week 1")</f>
        <v/>
      </c>
      <c r="J16" s="61">
        <f t="array" ref="J16">IF(I16="","",INDEX('Formula Generator'!$A$33:$A$38,1))</f>
        <v/>
      </c>
      <c r="K16" s="62">
        <f t="array" ref="K16">IF(I16="","",INDEX('Formula Generator'!$B$33:$E$38,1,1))</f>
        <v/>
      </c>
      <c r="L16" s="61" t="n"/>
      <c r="M16" s="61">
        <f>IF('Formula Generator'!A42="","",'Formula Generator'!A42)</f>
        <v/>
      </c>
      <c r="N16" s="62">
        <f>IF(M16="","",'Formula Generator'!B42)</f>
        <v/>
      </c>
      <c r="O16" s="62">
        <f>IF(M16="","",'Formula Generator'!C42)</f>
        <v/>
      </c>
      <c r="P16" s="62">
        <f>IF(M16="","",'Formula Generator'!F42)</f>
        <v/>
      </c>
      <c r="Q16" s="63">
        <f>IF(M16="","",'Formula Generator'!H42)</f>
        <v/>
      </c>
      <c r="R16" s="61">
        <f>IF(M16="","",'Formula Generator'!G42)</f>
        <v/>
      </c>
    </row>
    <row r="17">
      <c r="A17" s="61">
        <f t="array" ref="A17">IF(INDEX('Formula Generator'!$A$6:$A$11,3)="","","Week 4")</f>
        <v/>
      </c>
      <c r="B17" s="61">
        <f t="array" ref="B17">IF(A17="","",INDEX('Formula Generator'!$A$6:$A$11,3))</f>
        <v/>
      </c>
      <c r="C17" s="62">
        <f t="array" ref="C17">IF(A17="","",INDEX('Formula Generator'!$B$6:$E$11,3,4))</f>
        <v/>
      </c>
      <c r="D17" s="61" t="n"/>
      <c r="E17" s="61">
        <f t="array" ref="E17">IF(INDEX('Formula Generator'!$A$15:$A$20,2)="","",INDEX('Formula Generator'!$A$15:$A$20,2))</f>
        <v/>
      </c>
      <c r="F17" s="61">
        <f t="array" ref="F17">IF(E17="","",IF(INDEX('Formula Generator'!$B$14:$G$14,1,6)="","",INDEX('Formula Generator'!$B$14:$G$14,1,6)))</f>
        <v/>
      </c>
      <c r="G17" s="62">
        <f t="array" ref="G17">IF(OR(E17="",F17=""),"",INDEX('Formula Generator'!$B$15:$G$20,2,6))</f>
        <v/>
      </c>
      <c r="H17" s="61" t="n"/>
      <c r="I17" s="61">
        <f t="array" ref="I17">IF(INDEX('Formula Generator'!$A$33:$A$38,1)="","","Week 2")</f>
        <v/>
      </c>
      <c r="J17" s="61">
        <f t="array" ref="J17">IF(I17="","",INDEX('Formula Generator'!$A$33:$A$38,1))</f>
        <v/>
      </c>
      <c r="K17" s="62">
        <f t="array" ref="K17">IF(I17="","",INDEX('Formula Generator'!$B$33:$E$38,1,2))</f>
        <v/>
      </c>
      <c r="L17" s="61" t="n"/>
      <c r="M17" s="61">
        <f>IF('Formula Generator'!A43="","",'Formula Generator'!A43)</f>
        <v/>
      </c>
      <c r="N17" s="62">
        <f>IF(M17="","",'Formula Generator'!B43)</f>
        <v/>
      </c>
      <c r="O17" s="62">
        <f>IF(M17="","",'Formula Generator'!C43)</f>
        <v/>
      </c>
      <c r="P17" s="62">
        <f>IF(M17="","",'Formula Generator'!F43)</f>
        <v/>
      </c>
      <c r="Q17" s="63">
        <f>IF(M17="","",'Formula Generator'!H43)</f>
        <v/>
      </c>
      <c r="R17" s="61">
        <f>IF(M17="","",'Formula Generator'!G43)</f>
        <v/>
      </c>
    </row>
    <row r="18">
      <c r="A18" s="61">
        <f t="array" ref="A18">IF(INDEX('Formula Generator'!$A$6:$A$11,4)="","","Week 1")</f>
        <v/>
      </c>
      <c r="B18" s="61">
        <f t="array" ref="B18">IF(A18="","",INDEX('Formula Generator'!$A$6:$A$11,4))</f>
        <v/>
      </c>
      <c r="C18" s="62">
        <f t="array" ref="C18">IF(A18="","",INDEX('Formula Generator'!$B$6:$E$11,4,1))</f>
        <v/>
      </c>
      <c r="D18" s="61" t="n"/>
      <c r="E18" s="61">
        <f t="array" ref="E18">IF(INDEX('Formula Generator'!$A$15:$A$20,3)="","",INDEX('Formula Generator'!$A$15:$A$20,3))</f>
        <v/>
      </c>
      <c r="F18" s="61">
        <f t="array" ref="F18">IF(E18="","",IF(INDEX('Formula Generator'!$B$14:$G$14,1,1)="","",INDEX('Formula Generator'!$B$14:$G$14,1,1)))</f>
        <v/>
      </c>
      <c r="G18" s="62">
        <f t="array" ref="G18">IF(OR(E18="",F18=""),"",INDEX('Formula Generator'!$B$15:$G$20,3,1))</f>
        <v/>
      </c>
      <c r="H18" s="61" t="n"/>
      <c r="I18" s="61">
        <f t="array" ref="I18">IF(INDEX('Formula Generator'!$A$33:$A$38,1)="","","Week 3")</f>
        <v/>
      </c>
      <c r="J18" s="61">
        <f t="array" ref="J18">IF(I18="","",INDEX('Formula Generator'!$A$33:$A$38,1))</f>
        <v/>
      </c>
      <c r="K18" s="62">
        <f t="array" ref="K18">IF(I18="","",INDEX('Formula Generator'!$B$33:$E$38,1,3))</f>
        <v/>
      </c>
      <c r="L18" s="61" t="n"/>
      <c r="M18" s="61">
        <f>IF('Formula Generator'!A44="","",'Formula Generator'!A44)</f>
        <v/>
      </c>
      <c r="N18" s="62">
        <f>IF(M18="","",'Formula Generator'!B44)</f>
        <v/>
      </c>
      <c r="O18" s="62">
        <f>IF(M18="","",'Formula Generator'!C44)</f>
        <v/>
      </c>
      <c r="P18" s="62">
        <f>IF(M18="","",'Formula Generator'!F44)</f>
        <v/>
      </c>
      <c r="Q18" s="63">
        <f>IF(M18="","",'Formula Generator'!H44)</f>
        <v/>
      </c>
      <c r="R18" s="61">
        <f>IF(M18="","",'Formula Generator'!G44)</f>
        <v/>
      </c>
    </row>
    <row r="19">
      <c r="A19" s="61">
        <f t="array" ref="A19">IF(INDEX('Formula Generator'!$A$6:$A$11,4)="","","Week 2")</f>
        <v/>
      </c>
      <c r="B19" s="61">
        <f t="array" ref="B19">IF(A19="","",INDEX('Formula Generator'!$A$6:$A$11,4))</f>
        <v/>
      </c>
      <c r="C19" s="62">
        <f t="array" ref="C19">IF(A19="","",INDEX('Formula Generator'!$B$6:$E$11,4,2))</f>
        <v/>
      </c>
      <c r="D19" s="61" t="n"/>
      <c r="E19" s="61">
        <f t="array" ref="E19">IF(INDEX('Formula Generator'!$A$15:$A$20,3)="","",INDEX('Formula Generator'!$A$15:$A$20,3))</f>
        <v/>
      </c>
      <c r="F19" s="61">
        <f t="array" ref="F19">IF(E19="","",IF(INDEX('Formula Generator'!$B$14:$G$14,1,2)="","",INDEX('Formula Generator'!$B$14:$G$14,1,2)))</f>
        <v/>
      </c>
      <c r="G19" s="62">
        <f t="array" ref="G19">IF(OR(E19="",F19=""),"",INDEX('Formula Generator'!$B$15:$G$20,3,2))</f>
        <v/>
      </c>
      <c r="H19" s="61" t="n"/>
      <c r="I19" s="61">
        <f t="array" ref="I19">IF(INDEX('Formula Generator'!$A$33:$A$38,1)="","","Week 4")</f>
        <v/>
      </c>
      <c r="J19" s="61">
        <f t="array" ref="J19">IF(I19="","",INDEX('Formula Generator'!$A$33:$A$38,1))</f>
        <v/>
      </c>
      <c r="K19" s="62">
        <f t="array" ref="K19">IF(I19="","",INDEX('Formula Generator'!$B$33:$E$38,1,4))</f>
        <v/>
      </c>
      <c r="L19" s="61" t="n"/>
      <c r="M19" s="61">
        <f>IF('Formula Generator'!A45="","",'Formula Generator'!A45)</f>
        <v/>
      </c>
      <c r="N19" s="62">
        <f>IF(M19="","",'Formula Generator'!B45)</f>
        <v/>
      </c>
      <c r="O19" s="62">
        <f>IF(M19="","",'Formula Generator'!C45)</f>
        <v/>
      </c>
      <c r="P19" s="62">
        <f>IF(M19="","",'Formula Generator'!F45)</f>
        <v/>
      </c>
      <c r="Q19" s="63">
        <f>IF(M19="","",'Formula Generator'!H45)</f>
        <v/>
      </c>
      <c r="R19" s="61">
        <f>IF(M19="","",'Formula Generator'!G45)</f>
        <v/>
      </c>
    </row>
    <row r="20">
      <c r="A20" s="61">
        <f t="array" ref="A20">IF(INDEX('Formula Generator'!$A$6:$A$11,4)="","","Week 3")</f>
        <v/>
      </c>
      <c r="B20" s="61">
        <f t="array" ref="B20">IF(A20="","",INDEX('Formula Generator'!$A$6:$A$11,4))</f>
        <v/>
      </c>
      <c r="C20" s="62">
        <f t="array" ref="C20">IF(A20="","",INDEX('Formula Generator'!$B$6:$E$11,4,3))</f>
        <v/>
      </c>
      <c r="D20" s="61" t="n"/>
      <c r="E20" s="61">
        <f t="array" ref="E20">IF(INDEX('Formula Generator'!$A$15:$A$20,3)="","",INDEX('Formula Generator'!$A$15:$A$20,3))</f>
        <v/>
      </c>
      <c r="F20" s="61">
        <f t="array" ref="F20">IF(E20="","",IF(INDEX('Formula Generator'!$B$14:$G$14,1,3)="","",INDEX('Formula Generator'!$B$14:$G$14,1,3)))</f>
        <v/>
      </c>
      <c r="G20" s="62">
        <f t="array" ref="G20">IF(OR(E20="",F20=""),"",INDEX('Formula Generator'!$B$15:$G$20,3,3))</f>
        <v/>
      </c>
      <c r="H20" s="61" t="n"/>
      <c r="I20" s="61">
        <f t="array" ref="I20">IF(INDEX('Formula Generator'!$A$33:$A$38,2)="","","Week 1")</f>
        <v/>
      </c>
      <c r="J20" s="61">
        <f t="array" ref="J20">IF(I20="","",INDEX('Formula Generator'!$A$33:$A$38,2))</f>
        <v/>
      </c>
      <c r="K20" s="62">
        <f t="array" ref="K20">IF(I20="","",INDEX('Formula Generator'!$B$33:$E$38,2,1))</f>
        <v/>
      </c>
      <c r="L20" s="61" t="n"/>
      <c r="M20" s="61">
        <f>IF('Formula Generator'!A46="","",'Formula Generator'!A46)</f>
        <v/>
      </c>
      <c r="N20" s="62">
        <f>IF(M20="","",'Formula Generator'!B46)</f>
        <v/>
      </c>
      <c r="O20" s="62">
        <f>IF(M20="","",'Formula Generator'!C46)</f>
        <v/>
      </c>
      <c r="P20" s="62">
        <f>IF(M20="","",'Formula Generator'!F46)</f>
        <v/>
      </c>
      <c r="Q20" s="63">
        <f>IF(M20="","",'Formula Generator'!H46)</f>
        <v/>
      </c>
      <c r="R20" s="61">
        <f>IF(M20="","",'Formula Generator'!G46)</f>
        <v/>
      </c>
    </row>
    <row r="21" ht="15.75" customHeight="1" s="64">
      <c r="A21" s="61">
        <f t="array" ref="A21">IF(INDEX('Formula Generator'!$A$6:$A$11,4)="","","Week 4")</f>
        <v/>
      </c>
      <c r="B21" s="61">
        <f t="array" ref="B21">IF(A21="","",INDEX('Formula Generator'!$A$6:$A$11,4))</f>
        <v/>
      </c>
      <c r="C21" s="62">
        <f t="array" ref="C21">IF(A21="","",INDEX('Formula Generator'!$B$6:$E$11,4,4))</f>
        <v/>
      </c>
      <c r="D21" s="61" t="n"/>
      <c r="E21" s="61">
        <f t="array" ref="E21">IF(INDEX('Formula Generator'!$A$15:$A$20,3)="","",INDEX('Formula Generator'!$A$15:$A$20,3))</f>
        <v/>
      </c>
      <c r="F21" s="61">
        <f t="array" ref="F21">IF(E21="","",IF(INDEX('Formula Generator'!$B$14:$G$14,1,4)="","",INDEX('Formula Generator'!$B$14:$G$14,1,4)))</f>
        <v/>
      </c>
      <c r="G21" s="62">
        <f t="array" ref="G21">IF(OR(E21="",F21=""),"",INDEX('Formula Generator'!$B$15:$G$20,3,4))</f>
        <v/>
      </c>
      <c r="H21" s="61" t="n"/>
      <c r="I21" s="61">
        <f t="array" ref="I21">IF(INDEX('Formula Generator'!$A$33:$A$38,2)="","","Week 2")</f>
        <v/>
      </c>
      <c r="J21" s="61">
        <f t="array" ref="J21">IF(I21="","",INDEX('Formula Generator'!$A$33:$A$38,2))</f>
        <v/>
      </c>
      <c r="K21" s="62">
        <f t="array" ref="K21">IF(I21="","",INDEX('Formula Generator'!$B$33:$E$38,2,2))</f>
        <v/>
      </c>
      <c r="L21" s="61" t="n"/>
      <c r="M21" s="61">
        <f>IF('Formula Generator'!A47="","",'Formula Generator'!A47)</f>
        <v/>
      </c>
      <c r="N21" s="62">
        <f>IF(M21="","",'Formula Generator'!B47)</f>
        <v/>
      </c>
      <c r="O21" s="62">
        <f>IF(M21="","",'Formula Generator'!C47)</f>
        <v/>
      </c>
      <c r="P21" s="62">
        <f>IF(M21="","",'Formula Generator'!F47)</f>
        <v/>
      </c>
      <c r="Q21" s="63">
        <f>IF(M21="","",'Formula Generator'!H47)</f>
        <v/>
      </c>
      <c r="R21" s="61">
        <f>IF(M21="","",'Formula Generator'!G47)</f>
        <v/>
      </c>
    </row>
    <row r="22" ht="15.75" customHeight="1" s="64">
      <c r="A22" s="61">
        <f t="array" ref="A22">IF(INDEX('Formula Generator'!$A$6:$A$11,5)="","","Week 1")</f>
        <v/>
      </c>
      <c r="B22" s="61">
        <f t="array" ref="B22">IF(A22="","",INDEX('Formula Generator'!$A$6:$A$11,5))</f>
        <v/>
      </c>
      <c r="C22" s="62">
        <f t="array" ref="C22">IF(A22="","",INDEX('Formula Generator'!$B$6:$E$11,5,1))</f>
        <v/>
      </c>
      <c r="D22" s="61" t="n"/>
      <c r="E22" s="61">
        <f t="array" ref="E22">IF(INDEX('Formula Generator'!$A$15:$A$20,3)="","",INDEX('Formula Generator'!$A$15:$A$20,3))</f>
        <v/>
      </c>
      <c r="F22" s="61">
        <f t="array" ref="F22">IF(E22="","",IF(INDEX('Formula Generator'!$B$14:$G$14,1,5)="","",INDEX('Formula Generator'!$B$14:$G$14,1,5)))</f>
        <v/>
      </c>
      <c r="G22" s="62">
        <f t="array" ref="G22">IF(OR(E22="",F22=""),"",INDEX('Formula Generator'!$B$15:$G$20,3,5))</f>
        <v/>
      </c>
      <c r="H22" s="61" t="n"/>
      <c r="I22" s="61">
        <f t="array" ref="I22">IF(INDEX('Formula Generator'!$A$33:$A$38,2)="","","Week 3")</f>
        <v/>
      </c>
      <c r="J22" s="61">
        <f t="array" ref="J22">IF(I22="","",INDEX('Formula Generator'!$A$33:$A$38,2))</f>
        <v/>
      </c>
      <c r="K22" s="62">
        <f t="array" ref="K22">IF(I22="","",INDEX('Formula Generator'!$B$33:$E$38,2,3))</f>
        <v/>
      </c>
      <c r="L22" s="61" t="n"/>
      <c r="M22" s="61" t="n"/>
      <c r="N22" s="61" t="n"/>
      <c r="O22" s="61" t="n"/>
      <c r="P22" s="61" t="n"/>
      <c r="Q22" s="61" t="n"/>
      <c r="R22" s="61" t="n"/>
    </row>
    <row r="23" ht="15.75" customHeight="1" s="64">
      <c r="A23" s="61">
        <f t="array" ref="A23">IF(INDEX('Formula Generator'!$A$6:$A$11,5)="","","Week 2")</f>
        <v/>
      </c>
      <c r="B23" s="61">
        <f t="array" ref="B23">IF(A23="","",INDEX('Formula Generator'!$A$6:$A$11,5))</f>
        <v/>
      </c>
      <c r="C23" s="62">
        <f t="array" ref="C23">IF(A23="","",INDEX('Formula Generator'!$B$6:$E$11,5,2))</f>
        <v/>
      </c>
      <c r="D23" s="61" t="n"/>
      <c r="E23" s="61">
        <f t="array" ref="E23">IF(INDEX('Formula Generator'!$A$15:$A$20,3)="","",INDEX('Formula Generator'!$A$15:$A$20,3))</f>
        <v/>
      </c>
      <c r="F23" s="61">
        <f t="array" ref="F23">IF(E23="","",IF(INDEX('Formula Generator'!$B$14:$G$14,1,6)="","",INDEX('Formula Generator'!$B$14:$G$14,1,6)))</f>
        <v/>
      </c>
      <c r="G23" s="62">
        <f t="array" ref="G23">IF(OR(E23="",F23=""),"",INDEX('Formula Generator'!$B$15:$G$20,3,6))</f>
        <v/>
      </c>
      <c r="H23" s="61" t="n"/>
      <c r="I23" s="61">
        <f t="array" ref="I23">IF(INDEX('Formula Generator'!$A$33:$A$38,2)="","","Week 4")</f>
        <v/>
      </c>
      <c r="J23" s="61">
        <f t="array" ref="J23">IF(I23="","",INDEX('Formula Generator'!$A$33:$A$38,2))</f>
        <v/>
      </c>
      <c r="K23" s="62">
        <f t="array" ref="K23">IF(I23="","",INDEX('Formula Generator'!$B$33:$E$38,2,4))</f>
        <v/>
      </c>
      <c r="L23" s="61" t="n"/>
      <c r="M23" s="61" t="n"/>
      <c r="N23" s="61" t="n"/>
      <c r="O23" s="61" t="n"/>
      <c r="P23" s="61" t="n"/>
      <c r="Q23" s="61" t="n"/>
      <c r="R23" s="61" t="n"/>
    </row>
    <row r="24" ht="15.75" customHeight="1" s="64">
      <c r="A24" s="61">
        <f t="array" ref="A24">IF(INDEX('Formula Generator'!$A$6:$A$11,5)="","","Week 3")</f>
        <v/>
      </c>
      <c r="B24" s="61">
        <f t="array" ref="B24">IF(A24="","",INDEX('Formula Generator'!$A$6:$A$11,5))</f>
        <v/>
      </c>
      <c r="C24" s="62">
        <f t="array" ref="C24">IF(A24="","",INDEX('Formula Generator'!$B$6:$E$11,5,3))</f>
        <v/>
      </c>
      <c r="D24" s="61" t="n"/>
      <c r="E24" s="61">
        <f t="array" ref="E24">IF(INDEX('Formula Generator'!$A$15:$A$20,4)="","",INDEX('Formula Generator'!$A$15:$A$20,4))</f>
        <v/>
      </c>
      <c r="F24" s="61">
        <f t="array" ref="F24">IF(E24="","",IF(INDEX('Formula Generator'!$B$14:$G$14,1,1)="","",INDEX('Formula Generator'!$B$14:$G$14,1,1)))</f>
        <v/>
      </c>
      <c r="G24" s="62">
        <f t="array" ref="G24">IF(OR(E24="",F24=""),"",INDEX('Formula Generator'!$B$15:$G$20,4,1))</f>
        <v/>
      </c>
      <c r="H24" s="61" t="n"/>
      <c r="I24" s="61">
        <f t="array" ref="I24">IF(INDEX('Formula Generator'!$A$33:$A$38,3)="","","Week 1")</f>
        <v/>
      </c>
      <c r="J24" s="61">
        <f t="array" ref="J24">IF(I24="","",INDEX('Formula Generator'!$A$33:$A$38,3))</f>
        <v/>
      </c>
      <c r="K24" s="62">
        <f t="array" ref="K24">IF(I24="","",INDEX('Formula Generator'!$B$33:$E$38,3,1))</f>
        <v/>
      </c>
      <c r="L24" s="61" t="n"/>
      <c r="M24" s="61" t="n"/>
      <c r="N24" s="61" t="n"/>
      <c r="O24" s="61" t="n"/>
      <c r="P24" s="61" t="n"/>
      <c r="Q24" s="61" t="n"/>
      <c r="R24" s="61" t="n"/>
    </row>
    <row r="25" ht="15.75" customHeight="1" s="64">
      <c r="A25" s="61">
        <f t="array" ref="A25">IF(INDEX('Formula Generator'!$A$6:$A$11,5)="","","Week 4")</f>
        <v/>
      </c>
      <c r="B25" s="61">
        <f t="array" ref="B25">IF(A25="","",INDEX('Formula Generator'!$A$6:$A$11,5))</f>
        <v/>
      </c>
      <c r="C25" s="62">
        <f t="array" ref="C25">IF(A25="","",INDEX('Formula Generator'!$B$6:$E$11,5,4))</f>
        <v/>
      </c>
      <c r="D25" s="61" t="n"/>
      <c r="E25" s="61">
        <f t="array" ref="E25">IF(INDEX('Formula Generator'!$A$15:$A$20,4)="","",INDEX('Formula Generator'!$A$15:$A$20,4))</f>
        <v/>
      </c>
      <c r="F25" s="61">
        <f t="array" ref="F25">IF(E25="","",IF(INDEX('Formula Generator'!$B$14:$G$14,1,2)="","",INDEX('Formula Generator'!$B$14:$G$14,1,2)))</f>
        <v/>
      </c>
      <c r="G25" s="62">
        <f t="array" ref="G25">IF(OR(E25="",F25=""),"",INDEX('Formula Generator'!$B$15:$G$20,4,2))</f>
        <v/>
      </c>
      <c r="H25" s="61" t="n"/>
      <c r="I25" s="61">
        <f t="array" ref="I25">IF(INDEX('Formula Generator'!$A$33:$A$38,3)="","","Week 2")</f>
        <v/>
      </c>
      <c r="J25" s="61">
        <f t="array" ref="J25">IF(I25="","",INDEX('Formula Generator'!$A$33:$A$38,3))</f>
        <v/>
      </c>
      <c r="K25" s="62">
        <f t="array" ref="K25">IF(I25="","",INDEX('Formula Generator'!$B$33:$E$38,3,2))</f>
        <v/>
      </c>
      <c r="L25" s="61" t="n"/>
      <c r="M25" s="61" t="n"/>
      <c r="N25" s="61" t="n"/>
      <c r="O25" s="61" t="n"/>
      <c r="P25" s="61" t="n"/>
      <c r="Q25" s="61" t="n"/>
      <c r="R25" s="61" t="n"/>
    </row>
    <row r="26" ht="15.75" customHeight="1" s="64">
      <c r="A26" s="61">
        <f t="array" ref="A26">IF(INDEX('Formula Generator'!$A$6:$A$11,6)="","","Week 1")</f>
        <v/>
      </c>
      <c r="B26" s="61">
        <f t="array" ref="B26">IF(A26="","",INDEX('Formula Generator'!$A$6:$A$11,6))</f>
        <v/>
      </c>
      <c r="C26" s="62">
        <f t="array" ref="C26">IF(A26="","",INDEX('Formula Generator'!$B$6:$E$11,6,1))</f>
        <v/>
      </c>
      <c r="D26" s="61" t="n"/>
      <c r="E26" s="61">
        <f t="array" ref="E26">IF(INDEX('Formula Generator'!$A$15:$A$20,4)="","",INDEX('Formula Generator'!$A$15:$A$20,4))</f>
        <v/>
      </c>
      <c r="F26" s="61">
        <f t="array" ref="F26">IF(E26="","",IF(INDEX('Formula Generator'!$B$14:$G$14,1,3)="","",INDEX('Formula Generator'!$B$14:$G$14,1,3)))</f>
        <v/>
      </c>
      <c r="G26" s="62">
        <f t="array" ref="G26">IF(OR(E26="",F26=""),"",INDEX('Formula Generator'!$B$15:$G$20,4,3))</f>
        <v/>
      </c>
      <c r="H26" s="61" t="n"/>
      <c r="I26" s="61">
        <f t="array" ref="I26">IF(INDEX('Formula Generator'!$A$33:$A$38,3)="","","Week 3")</f>
        <v/>
      </c>
      <c r="J26" s="61">
        <f t="array" ref="J26">IF(I26="","",INDEX('Formula Generator'!$A$33:$A$38,3))</f>
        <v/>
      </c>
      <c r="K26" s="62">
        <f t="array" ref="K26">IF(I26="","",INDEX('Formula Generator'!$B$33:$E$38,3,3))</f>
        <v/>
      </c>
      <c r="L26" s="61" t="n"/>
      <c r="M26" s="61" t="n"/>
      <c r="N26" s="61" t="n"/>
      <c r="O26" s="61" t="n"/>
      <c r="P26" s="61" t="n"/>
      <c r="Q26" s="61" t="n"/>
      <c r="R26" s="61" t="n"/>
    </row>
    <row r="27" ht="15.75" customHeight="1" s="64">
      <c r="A27" s="61">
        <f t="array" ref="A27">IF(INDEX('Formula Generator'!$A$6:$A$11,6)="","","Week 2")</f>
        <v/>
      </c>
      <c r="B27" s="61">
        <f t="array" ref="B27">IF(A27="","",INDEX('Formula Generator'!$A$6:$A$11,6))</f>
        <v/>
      </c>
      <c r="C27" s="62">
        <f t="array" ref="C27">IF(A27="","",INDEX('Formula Generator'!$B$6:$E$11,6,2))</f>
        <v/>
      </c>
      <c r="D27" s="61" t="n"/>
      <c r="E27" s="61">
        <f t="array" ref="E27">IF(INDEX('Formula Generator'!$A$15:$A$20,4)="","",INDEX('Formula Generator'!$A$15:$A$20,4))</f>
        <v/>
      </c>
      <c r="F27" s="61">
        <f t="array" ref="F27">IF(E27="","",IF(INDEX('Formula Generator'!$B$14:$G$14,1,4)="","",INDEX('Formula Generator'!$B$14:$G$14,1,4)))</f>
        <v/>
      </c>
      <c r="G27" s="62">
        <f t="array" ref="G27">IF(OR(E27="",F27=""),"",INDEX('Formula Generator'!$B$15:$G$20,4,4))</f>
        <v/>
      </c>
      <c r="H27" s="61" t="n"/>
      <c r="I27" s="61">
        <f t="array" ref="I27">IF(INDEX('Formula Generator'!$A$33:$A$38,3)="","","Week 4")</f>
        <v/>
      </c>
      <c r="J27" s="61">
        <f t="array" ref="J27">IF(I27="","",INDEX('Formula Generator'!$A$33:$A$38,3))</f>
        <v/>
      </c>
      <c r="K27" s="62">
        <f t="array" ref="K27">IF(I27="","",INDEX('Formula Generator'!$B$33:$E$38,3,4))</f>
        <v/>
      </c>
      <c r="L27" s="61" t="n"/>
      <c r="M27" s="61" t="n"/>
      <c r="N27" s="61" t="n"/>
      <c r="O27" s="61" t="n"/>
      <c r="P27" s="61" t="n"/>
      <c r="Q27" s="61" t="n"/>
      <c r="R27" s="61" t="n"/>
    </row>
    <row r="28" ht="15.75" customHeight="1" s="64">
      <c r="A28" s="61">
        <f t="array" ref="A28">IF(INDEX('Formula Generator'!$A$6:$A$11,6)="","","Week 3")</f>
        <v/>
      </c>
      <c r="B28" s="61">
        <f t="array" ref="B28">IF(A28="","",INDEX('Formula Generator'!$A$6:$A$11,6))</f>
        <v/>
      </c>
      <c r="C28" s="62">
        <f t="array" ref="C28">IF(A28="","",INDEX('Formula Generator'!$B$6:$E$11,6,3))</f>
        <v/>
      </c>
      <c r="D28" s="61" t="n"/>
      <c r="E28" s="61">
        <f t="array" ref="E28">IF(INDEX('Formula Generator'!$A$15:$A$20,4)="","",INDEX('Formula Generator'!$A$15:$A$20,4))</f>
        <v/>
      </c>
      <c r="F28" s="61">
        <f t="array" ref="F28">IF(E28="","",IF(INDEX('Formula Generator'!$B$14:$G$14,1,5)="","",INDEX('Formula Generator'!$B$14:$G$14,1,5)))</f>
        <v/>
      </c>
      <c r="G28" s="62">
        <f t="array" ref="G28">IF(OR(E28="",F28=""),"",INDEX('Formula Generator'!$B$15:$G$20,4,5))</f>
        <v/>
      </c>
      <c r="H28" s="61" t="n"/>
      <c r="I28" s="61">
        <f t="array" ref="I28">IF(INDEX('Formula Generator'!$A$33:$A$38,4)="","","Week 1")</f>
        <v/>
      </c>
      <c r="J28" s="61">
        <f t="array" ref="J28">IF(I28="","",INDEX('Formula Generator'!$A$33:$A$38,4))</f>
        <v/>
      </c>
      <c r="K28" s="62">
        <f t="array" ref="K28">IF(I28="","",INDEX('Formula Generator'!$B$33:$E$38,4,1))</f>
        <v/>
      </c>
      <c r="L28" s="61" t="n"/>
      <c r="M28" s="61" t="n"/>
      <c r="N28" s="61" t="n"/>
      <c r="O28" s="61" t="n"/>
      <c r="P28" s="61" t="n"/>
      <c r="Q28" s="61" t="n"/>
      <c r="R28" s="61" t="n"/>
    </row>
    <row r="29" ht="15.75" customHeight="1" s="64">
      <c r="A29" s="61">
        <f t="array" ref="A29">IF(INDEX('Formula Generator'!$A$6:$A$11,6)="","","Week 4")</f>
        <v/>
      </c>
      <c r="B29" s="61">
        <f t="array" ref="B29">IF(A29="","",INDEX('Formula Generator'!$A$6:$A$11,6))</f>
        <v/>
      </c>
      <c r="C29" s="62">
        <f t="array" ref="C29">IF(A29="","",INDEX('Formula Generator'!$B$6:$E$11,6,4))</f>
        <v/>
      </c>
      <c r="D29" s="61" t="n"/>
      <c r="E29" s="61">
        <f t="array" ref="E29">IF(INDEX('Formula Generator'!$A$15:$A$20,4)="","",INDEX('Formula Generator'!$A$15:$A$20,4))</f>
        <v/>
      </c>
      <c r="F29" s="61">
        <f t="array" ref="F29">IF(E29="","",IF(INDEX('Formula Generator'!$B$14:$G$14,1,6)="","",INDEX('Formula Generator'!$B$14:$G$14,1,6)))</f>
        <v/>
      </c>
      <c r="G29" s="62">
        <f t="array" ref="G29">IF(OR(E29="",F29=""),"",INDEX('Formula Generator'!$B$15:$G$20,4,6))</f>
        <v/>
      </c>
      <c r="H29" s="61" t="n"/>
      <c r="I29" s="61">
        <f t="array" ref="I29">IF(INDEX('Formula Generator'!$A$33:$A$38,4)="","","Week 2")</f>
        <v/>
      </c>
      <c r="J29" s="61">
        <f t="array" ref="J29">IF(I29="","",INDEX('Formula Generator'!$A$33:$A$38,4))</f>
        <v/>
      </c>
      <c r="K29" s="62">
        <f t="array" ref="K29">IF(I29="","",INDEX('Formula Generator'!$B$33:$E$38,4,2))</f>
        <v/>
      </c>
      <c r="L29" s="61" t="n"/>
      <c r="M29" s="61" t="n"/>
      <c r="N29" s="61" t="n"/>
      <c r="O29" s="61" t="n"/>
      <c r="P29" s="61" t="n"/>
      <c r="Q29" s="61" t="n"/>
      <c r="R29" s="61" t="n"/>
    </row>
    <row r="30" ht="15.75" customHeight="1" s="64">
      <c r="A30" s="61" t="n"/>
      <c r="B30" s="61" t="n"/>
      <c r="C30" s="61" t="n"/>
      <c r="D30" s="61" t="n"/>
      <c r="E30" s="61">
        <f t="array" ref="E30">IF(INDEX('Formula Generator'!$A$15:$A$20,5)="","",INDEX('Formula Generator'!$A$15:$A$20,5))</f>
        <v/>
      </c>
      <c r="F30" s="61">
        <f t="array" ref="F30">IF(E30="","",IF(INDEX('Formula Generator'!$B$14:$G$14,1,1)="","",INDEX('Formula Generator'!$B$14:$G$14,1,1)))</f>
        <v/>
      </c>
      <c r="G30" s="62">
        <f t="array" ref="G30">IF(OR(E30="",F30=""),"",INDEX('Formula Generator'!$B$15:$G$20,5,1))</f>
        <v/>
      </c>
      <c r="H30" s="61" t="n"/>
      <c r="I30" s="61">
        <f t="array" ref="I30">IF(INDEX('Formula Generator'!$A$33:$A$38,4)="","","Week 3")</f>
        <v/>
      </c>
      <c r="J30" s="61">
        <f t="array" ref="J30">IF(I30="","",INDEX('Formula Generator'!$A$33:$A$38,4))</f>
        <v/>
      </c>
      <c r="K30" s="62">
        <f t="array" ref="K30">IF(I30="","",INDEX('Formula Generator'!$B$33:$E$38,4,3))</f>
        <v/>
      </c>
      <c r="L30" s="61" t="n"/>
      <c r="M30" s="61" t="n"/>
      <c r="N30" s="61" t="n"/>
      <c r="O30" s="61" t="n"/>
      <c r="P30" s="61" t="n"/>
      <c r="Q30" s="61" t="n"/>
      <c r="R30" s="61" t="n"/>
    </row>
    <row r="31" ht="15.75" customHeight="1" s="64">
      <c r="A31" s="61" t="n"/>
      <c r="B31" s="61" t="n"/>
      <c r="C31" s="61" t="n"/>
      <c r="D31" s="61" t="n"/>
      <c r="E31" s="61">
        <f t="array" ref="E31">IF(INDEX('Formula Generator'!$A$15:$A$20,5)="","",INDEX('Formula Generator'!$A$15:$A$20,5))</f>
        <v/>
      </c>
      <c r="F31" s="61">
        <f t="array" ref="F31">IF(E31="","",IF(INDEX('Formula Generator'!$B$14:$G$14,1,2)="","",INDEX('Formula Generator'!$B$14:$G$14,1,2)))</f>
        <v/>
      </c>
      <c r="G31" s="62">
        <f t="array" ref="G31">IF(OR(E31="",F31=""),"",INDEX('Formula Generator'!$B$15:$G$20,5,2))</f>
        <v/>
      </c>
      <c r="H31" s="61" t="n"/>
      <c r="I31" s="61">
        <f t="array" ref="I31">IF(INDEX('Formula Generator'!$A$33:$A$38,4)="","","Week 4")</f>
        <v/>
      </c>
      <c r="J31" s="61">
        <f t="array" ref="J31">IF(I31="","",INDEX('Formula Generator'!$A$33:$A$38,4))</f>
        <v/>
      </c>
      <c r="K31" s="62">
        <f t="array" ref="K31">IF(I31="","",INDEX('Formula Generator'!$B$33:$E$38,4,4))</f>
        <v/>
      </c>
      <c r="L31" s="61" t="n"/>
      <c r="M31" s="61" t="n"/>
      <c r="N31" s="61" t="n"/>
      <c r="O31" s="61" t="n"/>
      <c r="P31" s="61" t="n"/>
      <c r="Q31" s="61" t="n"/>
      <c r="R31" s="61" t="n"/>
    </row>
    <row r="32" ht="15.75" customHeight="1" s="64">
      <c r="A32" s="61" t="n"/>
      <c r="B32" s="61" t="n"/>
      <c r="C32" s="61" t="n"/>
      <c r="D32" s="61" t="n"/>
      <c r="E32" s="61">
        <f t="array" ref="E32">IF(INDEX('Formula Generator'!$A$15:$A$20,5)="","",INDEX('Formula Generator'!$A$15:$A$20,5))</f>
        <v/>
      </c>
      <c r="F32" s="61">
        <f t="array" ref="F32">IF(E32="","",IF(INDEX('Formula Generator'!$B$14:$G$14,1,3)="","",INDEX('Formula Generator'!$B$14:$G$14,1,3)))</f>
        <v/>
      </c>
      <c r="G32" s="62">
        <f t="array" ref="G32">IF(OR(E32="",F32=""),"",INDEX('Formula Generator'!$B$15:$G$20,5,3))</f>
        <v/>
      </c>
      <c r="H32" s="61" t="n"/>
      <c r="I32" s="61">
        <f t="array" ref="I32">IF(INDEX('Formula Generator'!$A$33:$A$38,5)="","","Week 1")</f>
        <v/>
      </c>
      <c r="J32" s="61">
        <f t="array" ref="J32">IF(I32="","",INDEX('Formula Generator'!$A$33:$A$38,5))</f>
        <v/>
      </c>
      <c r="K32" s="62">
        <f t="array" ref="K32">IF(I32="","",INDEX('Formula Generator'!$B$33:$E$38,5,1))</f>
        <v/>
      </c>
      <c r="L32" s="61" t="n"/>
      <c r="M32" s="61" t="n"/>
      <c r="N32" s="61" t="n"/>
      <c r="O32" s="61" t="n"/>
      <c r="P32" s="61" t="n"/>
      <c r="Q32" s="61" t="n"/>
      <c r="R32" s="61" t="n"/>
    </row>
    <row r="33" ht="15.75" customHeight="1" s="64">
      <c r="A33" s="61" t="n"/>
      <c r="B33" s="61" t="n"/>
      <c r="C33" s="61" t="n"/>
      <c r="D33" s="61" t="n"/>
      <c r="E33" s="61">
        <f t="array" ref="E33">IF(INDEX('Formula Generator'!$A$15:$A$20,5)="","",INDEX('Formula Generator'!$A$15:$A$20,5))</f>
        <v/>
      </c>
      <c r="F33" s="61">
        <f t="array" ref="F33">IF(E33="","",IF(INDEX('Formula Generator'!$B$14:$G$14,1,4)="","",INDEX('Formula Generator'!$B$14:$G$14,1,4)))</f>
        <v/>
      </c>
      <c r="G33" s="62">
        <f t="array" ref="G33">IF(OR(E33="",F33=""),"",INDEX('Formula Generator'!$B$15:$G$20,5,4))</f>
        <v/>
      </c>
      <c r="H33" s="61" t="n"/>
      <c r="I33" s="61">
        <f t="array" ref="I33">IF(INDEX('Formula Generator'!$A$33:$A$38,5)="","","Week 2")</f>
        <v/>
      </c>
      <c r="J33" s="61">
        <f t="array" ref="J33">IF(I33="","",INDEX('Formula Generator'!$A$33:$A$38,5))</f>
        <v/>
      </c>
      <c r="K33" s="62">
        <f t="array" ref="K33">IF(I33="","",INDEX('Formula Generator'!$B$33:$E$38,5,2))</f>
        <v/>
      </c>
      <c r="L33" s="61" t="n"/>
      <c r="M33" s="61" t="n"/>
      <c r="N33" s="61" t="n"/>
      <c r="O33" s="61" t="n"/>
      <c r="P33" s="61" t="n"/>
      <c r="Q33" s="61" t="n"/>
      <c r="R33" s="61" t="n"/>
    </row>
    <row r="34" ht="15.75" customHeight="1" s="64">
      <c r="A34" s="61" t="n"/>
      <c r="B34" s="61" t="n"/>
      <c r="C34" s="61" t="n"/>
      <c r="D34" s="61" t="n"/>
      <c r="E34" s="61">
        <f t="array" ref="E34">IF(INDEX('Formula Generator'!$A$15:$A$20,5)="","",INDEX('Formula Generator'!$A$15:$A$20,5))</f>
        <v/>
      </c>
      <c r="F34" s="61">
        <f t="array" ref="F34">IF(E34="","",IF(INDEX('Formula Generator'!$B$14:$G$14,1,5)="","",INDEX('Formula Generator'!$B$14:$G$14,1,5)))</f>
        <v/>
      </c>
      <c r="G34" s="62">
        <f t="array" ref="G34">IF(OR(E34="",F34=""),"",INDEX('Formula Generator'!$B$15:$G$20,5,5))</f>
        <v/>
      </c>
      <c r="H34" s="61" t="n"/>
      <c r="I34" s="61">
        <f t="array" ref="I34">IF(INDEX('Formula Generator'!$A$33:$A$38,5)="","","Week 3")</f>
        <v/>
      </c>
      <c r="J34" s="61">
        <f t="array" ref="J34">IF(I34="","",INDEX('Formula Generator'!$A$33:$A$38,5))</f>
        <v/>
      </c>
      <c r="K34" s="62">
        <f t="array" ref="K34">IF(I34="","",INDEX('Formula Generator'!$B$33:$E$38,5,3))</f>
        <v/>
      </c>
      <c r="L34" s="61" t="n"/>
      <c r="M34" s="61" t="n"/>
      <c r="N34" s="61" t="n"/>
      <c r="O34" s="61" t="n"/>
      <c r="P34" s="61" t="n"/>
      <c r="Q34" s="61" t="n"/>
      <c r="R34" s="61" t="n"/>
    </row>
    <row r="35" ht="15.75" customHeight="1" s="64">
      <c r="A35" s="61" t="n"/>
      <c r="B35" s="61" t="n"/>
      <c r="C35" s="61" t="n"/>
      <c r="D35" s="61" t="n"/>
      <c r="E35" s="61">
        <f t="array" ref="E35">IF(INDEX('Formula Generator'!$A$15:$A$20,5)="","",INDEX('Formula Generator'!$A$15:$A$20,5))</f>
        <v/>
      </c>
      <c r="F35" s="61">
        <f t="array" ref="F35">IF(E35="","",IF(INDEX('Formula Generator'!$B$14:$G$14,1,6)="","",INDEX('Formula Generator'!$B$14:$G$14,1,6)))</f>
        <v/>
      </c>
      <c r="G35" s="62">
        <f t="array" ref="G35">IF(OR(E35="",F35=""),"",INDEX('Formula Generator'!$B$15:$G$20,5,6))</f>
        <v/>
      </c>
      <c r="H35" s="61" t="n"/>
      <c r="I35" s="61">
        <f t="array" ref="I35">IF(INDEX('Formula Generator'!$A$33:$A$38,5)="","","Week 4")</f>
        <v/>
      </c>
      <c r="J35" s="61">
        <f t="array" ref="J35">IF(I35="","",INDEX('Formula Generator'!$A$33:$A$38,5))</f>
        <v/>
      </c>
      <c r="K35" s="62">
        <f t="array" ref="K35">IF(I35="","",INDEX('Formula Generator'!$B$33:$E$38,5,4))</f>
        <v/>
      </c>
      <c r="L35" s="61" t="n"/>
      <c r="M35" s="61" t="n"/>
      <c r="N35" s="61" t="n"/>
      <c r="O35" s="61" t="n"/>
      <c r="P35" s="61" t="n"/>
      <c r="Q35" s="61" t="n"/>
      <c r="R35" s="61" t="n"/>
    </row>
    <row r="36" ht="15.75" customHeight="1" s="64">
      <c r="A36" s="61" t="n"/>
      <c r="B36" s="61" t="n"/>
      <c r="C36" s="61" t="n"/>
      <c r="D36" s="61" t="n"/>
      <c r="E36" s="61">
        <f t="array" ref="E36">IF(INDEX('Formula Generator'!$A$15:$A$20,6)="","",INDEX('Formula Generator'!$A$15:$A$20,6))</f>
        <v/>
      </c>
      <c r="F36" s="61">
        <f t="array" ref="F36">IF(E36="","",IF(INDEX('Formula Generator'!$B$14:$G$14,1,1)="","",INDEX('Formula Generator'!$B$14:$G$14,1,1)))</f>
        <v/>
      </c>
      <c r="G36" s="62">
        <f t="array" ref="G36">IF(OR(E36="",F36=""),"",INDEX('Formula Generator'!$B$15:$G$20,6,1))</f>
        <v/>
      </c>
      <c r="H36" s="61" t="n"/>
      <c r="I36" s="61">
        <f t="array" ref="I36">IF(INDEX('Formula Generator'!$A$33:$A$38,6)="","","Week 1")</f>
        <v/>
      </c>
      <c r="J36" s="61">
        <f t="array" ref="J36">IF(I36="","",INDEX('Formula Generator'!$A$33:$A$38,6))</f>
        <v/>
      </c>
      <c r="K36" s="62">
        <f t="array" ref="K36">IF(I36="","",INDEX('Formula Generator'!$B$33:$E$38,6,1))</f>
        <v/>
      </c>
      <c r="L36" s="61" t="n"/>
      <c r="M36" s="61" t="n"/>
      <c r="N36" s="61" t="n"/>
      <c r="O36" s="61" t="n"/>
      <c r="P36" s="61" t="n"/>
      <c r="Q36" s="61" t="n"/>
      <c r="R36" s="61" t="n"/>
    </row>
    <row r="37" ht="15.75" customHeight="1" s="64">
      <c r="A37" s="61" t="n"/>
      <c r="B37" s="61" t="n"/>
      <c r="C37" s="61" t="n"/>
      <c r="D37" s="61" t="n"/>
      <c r="E37" s="61">
        <f t="array" ref="E37">IF(INDEX('Formula Generator'!$A$15:$A$20,6)="","",INDEX('Formula Generator'!$A$15:$A$20,6))</f>
        <v/>
      </c>
      <c r="F37" s="61">
        <f t="array" ref="F37">IF(E37="","",IF(INDEX('Formula Generator'!$B$14:$G$14,1,2)="","",INDEX('Formula Generator'!$B$14:$G$14,1,2)))</f>
        <v/>
      </c>
      <c r="G37" s="62">
        <f t="array" ref="G37">IF(OR(E37="",F37=""),"",INDEX('Formula Generator'!$B$15:$G$20,6,2))</f>
        <v/>
      </c>
      <c r="H37" s="61" t="n"/>
      <c r="I37" s="61">
        <f t="array" ref="I37">IF(INDEX('Formula Generator'!$A$33:$A$38,6)="","","Week 2")</f>
        <v/>
      </c>
      <c r="J37" s="61">
        <f t="array" ref="J37">IF(I37="","",INDEX('Formula Generator'!$A$33:$A$38,6))</f>
        <v/>
      </c>
      <c r="K37" s="62">
        <f t="array" ref="K37">IF(I37="","",INDEX('Formula Generator'!$B$33:$E$38,6,2))</f>
        <v/>
      </c>
      <c r="L37" s="61" t="n"/>
      <c r="M37" s="61" t="n"/>
      <c r="N37" s="61" t="n"/>
      <c r="O37" s="61" t="n"/>
      <c r="P37" s="61" t="n"/>
      <c r="Q37" s="61" t="n"/>
      <c r="R37" s="61" t="n"/>
    </row>
    <row r="38" ht="15.75" customHeight="1" s="64">
      <c r="A38" s="61" t="n"/>
      <c r="B38" s="61" t="n"/>
      <c r="C38" s="61" t="n"/>
      <c r="D38" s="61" t="n"/>
      <c r="E38" s="61">
        <f t="array" ref="E38">IF(INDEX('Formula Generator'!$A$15:$A$20,6)="","",INDEX('Formula Generator'!$A$15:$A$20,6))</f>
        <v/>
      </c>
      <c r="F38" s="61">
        <f t="array" ref="F38">IF(E38="","",IF(INDEX('Formula Generator'!$B$14:$G$14,1,3)="","",INDEX('Formula Generator'!$B$14:$G$14,1,3)))</f>
        <v/>
      </c>
      <c r="G38" s="62">
        <f t="array" ref="G38">IF(OR(E38="",F38=""),"",INDEX('Formula Generator'!$B$15:$G$20,6,3))</f>
        <v/>
      </c>
      <c r="H38" s="61" t="n"/>
      <c r="I38" s="61">
        <f t="array" ref="I38">IF(INDEX('Formula Generator'!$A$33:$A$38,6)="","","Week 3")</f>
        <v/>
      </c>
      <c r="J38" s="61">
        <f t="array" ref="J38">IF(I38="","",INDEX('Formula Generator'!$A$33:$A$38,6))</f>
        <v/>
      </c>
      <c r="K38" s="62">
        <f t="array" ref="K38">IF(I38="","",INDEX('Formula Generator'!$B$33:$E$38,6,3))</f>
        <v/>
      </c>
      <c r="L38" s="61" t="n"/>
      <c r="M38" s="61" t="n"/>
      <c r="N38" s="61" t="n"/>
      <c r="O38" s="61" t="n"/>
      <c r="P38" s="61" t="n"/>
      <c r="Q38" s="61" t="n"/>
      <c r="R38" s="61" t="n"/>
    </row>
    <row r="39" ht="15.75" customHeight="1" s="64">
      <c r="A39" s="61" t="n"/>
      <c r="B39" s="61" t="n"/>
      <c r="C39" s="61" t="n"/>
      <c r="D39" s="61" t="n"/>
      <c r="E39" s="61">
        <f t="array" ref="E39">IF(INDEX('Formula Generator'!$A$15:$A$20,6)="","",INDEX('Formula Generator'!$A$15:$A$20,6))</f>
        <v/>
      </c>
      <c r="F39" s="61">
        <f t="array" ref="F39">IF(E39="","",IF(INDEX('Formula Generator'!$B$14:$G$14,1,4)="","",INDEX('Formula Generator'!$B$14:$G$14,1,4)))</f>
        <v/>
      </c>
      <c r="G39" s="62">
        <f t="array" ref="G39">IF(OR(E39="",F39=""),"",INDEX('Formula Generator'!$B$15:$G$20,6,4))</f>
        <v/>
      </c>
      <c r="H39" s="61" t="n"/>
      <c r="I39" s="61">
        <f t="array" ref="I39">IF(INDEX('Formula Generator'!$A$33:$A$38,6)="","","Week 4")</f>
        <v/>
      </c>
      <c r="J39" s="61">
        <f t="array" ref="J39">IF(I39="","",INDEX('Formula Generator'!$A$33:$A$38,6))</f>
        <v/>
      </c>
      <c r="K39" s="62">
        <f t="array" ref="K39">IF(I39="","",INDEX('Formula Generator'!$B$33:$E$38,6,4))</f>
        <v/>
      </c>
      <c r="L39" s="61" t="n"/>
      <c r="M39" s="61" t="n"/>
      <c r="N39" s="61" t="n"/>
      <c r="O39" s="61" t="n"/>
      <c r="P39" s="61" t="n"/>
      <c r="Q39" s="61" t="n"/>
      <c r="R39" s="61" t="n"/>
    </row>
    <row r="40" ht="15.75" customHeight="1" s="64">
      <c r="A40" s="61" t="n"/>
      <c r="B40" s="61" t="n"/>
      <c r="C40" s="61" t="n"/>
      <c r="D40" s="61" t="n"/>
      <c r="E40" s="61">
        <f t="array" ref="E40">IF(INDEX('Formula Generator'!$A$15:$A$20,6)="","",INDEX('Formula Generator'!$A$15:$A$20,6))</f>
        <v/>
      </c>
      <c r="F40" s="61">
        <f t="array" ref="F40">IF(E40="","",IF(INDEX('Formula Generator'!$B$14:$G$14,1,5)="","",INDEX('Formula Generator'!$B$14:$G$14,1,5)))</f>
        <v/>
      </c>
      <c r="G40" s="62">
        <f t="array" ref="G40">IF(OR(E40="",F40=""),"",INDEX('Formula Generator'!$B$15:$G$20,6,5))</f>
        <v/>
      </c>
      <c r="H40" s="61" t="n"/>
      <c r="I40" s="61" t="n"/>
      <c r="J40" s="61" t="n"/>
      <c r="K40" s="61" t="n"/>
      <c r="L40" s="61" t="n"/>
      <c r="M40" s="61" t="n"/>
      <c r="N40" s="61" t="n"/>
      <c r="O40" s="61" t="n"/>
      <c r="P40" s="61" t="n"/>
      <c r="Q40" s="61" t="n"/>
      <c r="R40" s="61" t="n"/>
    </row>
    <row r="41" ht="15.75" customHeight="1" s="64">
      <c r="A41" s="61" t="n"/>
      <c r="B41" s="61" t="n"/>
      <c r="C41" s="61" t="n"/>
      <c r="D41" s="61" t="n"/>
      <c r="E41" s="61">
        <f t="array" ref="E41">IF(INDEX('Formula Generator'!$A$15:$A$20,6)="","",INDEX('Formula Generator'!$A$15:$A$20,6))</f>
        <v/>
      </c>
      <c r="F41" s="61">
        <f t="array" ref="F41">IF(E41="","",IF(INDEX('Formula Generator'!$B$14:$G$14,1,6)="","",INDEX('Formula Generator'!$B$14:$G$14,1,6)))</f>
        <v/>
      </c>
      <c r="G41" s="62">
        <f t="array" ref="G41">IF(OR(E41="",F41=""),"",INDEX('Formula Generator'!$B$15:$G$20,6,6))</f>
        <v/>
      </c>
      <c r="H41" s="61" t="n"/>
      <c r="I41" s="61" t="n"/>
      <c r="J41" s="61" t="n"/>
      <c r="K41" s="61" t="n"/>
      <c r="L41" s="61" t="n"/>
      <c r="M41" s="61" t="n"/>
      <c r="N41" s="61" t="n"/>
      <c r="O41" s="61" t="n"/>
      <c r="P41" s="61" t="n"/>
      <c r="Q41" s="61" t="n"/>
      <c r="R41" s="61" t="n"/>
    </row>
    <row r="42" ht="15.75" customHeight="1" s="64"/>
    <row r="43" ht="15.75" customHeight="1" s="64"/>
    <row r="44" ht="15.75" customHeight="1" s="64"/>
    <row r="45" ht="15.75" customHeight="1" s="64"/>
    <row r="46" ht="15.75" customHeight="1" s="64"/>
    <row r="47" ht="15.75" customHeight="1" s="64"/>
    <row r="48" ht="15.75" customHeight="1" s="64"/>
    <row r="49" ht="15.75" customHeight="1" s="64"/>
    <row r="50" ht="15.75" customHeight="1" s="64"/>
    <row r="51" ht="15.75" customHeight="1" s="64"/>
    <row r="52" ht="15.75" customHeight="1" s="64"/>
    <row r="53" ht="15.75" customHeight="1" s="64"/>
    <row r="54" ht="15.75" customHeight="1" s="64"/>
    <row r="55" ht="15.75" customHeight="1" s="64"/>
    <row r="56" ht="15.75" customHeight="1" s="64"/>
    <row r="57" ht="15.75" customHeight="1" s="64"/>
    <row r="58" ht="15.75" customHeight="1" s="64"/>
    <row r="59" ht="15.75" customHeight="1" s="64"/>
    <row r="60" ht="15.75" customHeight="1" s="64"/>
    <row r="61" ht="15.75" customHeight="1" s="64"/>
    <row r="62" ht="15.75" customHeight="1" s="64"/>
    <row r="63" ht="15.75" customHeight="1" s="64"/>
    <row r="64" ht="15.75" customHeight="1" s="64"/>
    <row r="65" ht="15.75" customHeight="1" s="64"/>
    <row r="66" ht="15.75" customHeight="1" s="64"/>
    <row r="67" ht="15.75" customHeight="1" s="64"/>
    <row r="68" ht="15.75" customHeight="1" s="64"/>
    <row r="69" ht="15.75" customHeight="1" s="64"/>
    <row r="70" ht="15.75" customHeight="1" s="64"/>
    <row r="71" ht="15.75" customHeight="1" s="64"/>
    <row r="72" ht="15.75" customHeight="1" s="64"/>
    <row r="73" ht="15.75" customHeight="1" s="64"/>
    <row r="74" ht="15.75" customHeight="1" s="64"/>
    <row r="75" ht="15.75" customHeight="1" s="64"/>
    <row r="76" ht="15.75" customHeight="1" s="64"/>
    <row r="77" ht="15.75" customHeight="1" s="64"/>
    <row r="78" ht="15.75" customHeight="1" s="64"/>
    <row r="79" ht="15.75" customHeight="1" s="64"/>
    <row r="80" ht="15.75" customHeight="1" s="64"/>
    <row r="81" ht="15.75" customHeight="1" s="64"/>
    <row r="82" ht="15.75" customHeight="1" s="64"/>
    <row r="83" ht="15.75" customHeight="1" s="64"/>
    <row r="84" ht="15.75" customHeight="1" s="64"/>
    <row r="85" ht="15.75" customHeight="1" s="64"/>
    <row r="86" ht="15.75" customHeight="1" s="64"/>
    <row r="87" ht="15.75" customHeight="1" s="64"/>
    <row r="88" ht="15.75" customHeight="1" s="64"/>
    <row r="89" ht="15.75" customHeight="1" s="64"/>
    <row r="90" ht="15.75" customHeight="1" s="64"/>
    <row r="91" ht="15.75" customHeight="1" s="64"/>
    <row r="92" ht="15.75" customHeight="1" s="64"/>
    <row r="93" ht="15.75" customHeight="1" s="64"/>
    <row r="94" ht="15.75" customHeight="1" s="64"/>
    <row r="95" ht="15.75" customHeight="1" s="64"/>
    <row r="96" ht="15.75" customHeight="1" s="64"/>
    <row r="97" ht="15.75" customHeight="1" s="64"/>
    <row r="98" ht="15.75" customHeight="1" s="64"/>
    <row r="99" ht="15.75" customHeight="1" s="64"/>
    <row r="100" ht="15.75" customHeight="1" s="64"/>
  </sheetData>
  <mergeCells count="6">
    <mergeCell ref="M14:R14"/>
    <mergeCell ref="I14:K14"/>
    <mergeCell ref="I4:O4"/>
    <mergeCell ref="E4:G4"/>
    <mergeCell ref="A1:R1"/>
    <mergeCell ref="A4:C4"/>
  </mergeCells>
  <pageMargins left="0.7" right="0.7" top="0.75" bottom="0.75" header="0" footer="0"/>
  <pageSetup orientation="landscape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2026-05-17T11:42:01Z</dcterms:created>
  <dcterms:modified xmlns:dcterms="http://purl.org/dc/terms/" xmlns:xsi="http://www.w3.org/2001/XMLSchema-instance" xsi:type="dcterms:W3CDTF">2026-05-17T11:42:02Z</dcterms:modified>
</cp:coreProperties>
</file>