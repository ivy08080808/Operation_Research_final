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tani\Downloads\"/>
    </mc:Choice>
  </mc:AlternateContent>
  <xr:revisionPtr revIDLastSave="0" documentId="8_{A85CDCDD-A28F-4131-807E-BAC87FFEC178}" xr6:coauthVersionLast="47" xr6:coauthVersionMax="47" xr10:uidLastSave="{00000000-0000-0000-0000-000000000000}"/>
  <bookViews>
    <workbookView xWindow="2175" yWindow="2175" windowWidth="16200" windowHeight="9308" firstSheet="5" activeTab="8" xr2:uid="{00000000-000D-0000-FFFF-FFFF00000000}"/>
  </bookViews>
  <sheets>
    <sheet name="Overview" sheetId="1" r:id="rId1"/>
    <sheet name="Parameter Checks" sheetId="2" r:id="rId2"/>
    <sheet name="Instance 1 (Base)" sheetId="3" r:id="rId3"/>
    <sheet name="Instance 2 (No Discount)" sheetId="4" r:id="rId4"/>
    <sheet name="Instance 3 (Carryover)" sheetId="5" r:id="rId5"/>
    <sheet name="Instance 4 (Sensitivity)" sheetId="6" r:id="rId6"/>
    <sheet name="Instance 5 (Large)" sheetId="7" r:id="rId7"/>
    <sheet name="Gurobi Input" sheetId="8" r:id="rId8"/>
    <sheet name="Formula Generator" sheetId="9" r:id="rId9"/>
  </sheets>
  <externalReferences>
    <externalReference r:id="rId10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9" l="1"/>
  <c r="E29" i="9" s="1"/>
  <c r="A28" i="9"/>
  <c r="I28" i="9" s="1"/>
  <c r="A27" i="9"/>
  <c r="A25" i="9"/>
  <c r="A24" i="9"/>
  <c r="G20" i="9"/>
  <c r="A20" i="9"/>
  <c r="F20" i="9" s="1"/>
  <c r="A19" i="9"/>
  <c r="A18" i="9"/>
  <c r="B18" i="9" s="1"/>
  <c r="A17" i="9"/>
  <c r="A16" i="9"/>
  <c r="B16" i="9" s="1"/>
  <c r="A15" i="9"/>
  <c r="G14" i="9"/>
  <c r="G16" i="9" s="1"/>
  <c r="F14" i="9"/>
  <c r="F16" i="9" s="1"/>
  <c r="E14" i="9"/>
  <c r="E16" i="9" s="1"/>
  <c r="D14" i="9"/>
  <c r="C14" i="9"/>
  <c r="B14" i="9"/>
  <c r="A14" i="9"/>
  <c r="A11" i="9"/>
  <c r="E11" i="9" s="1"/>
  <c r="A10" i="9"/>
  <c r="E10" i="9" s="1"/>
  <c r="A8" i="9"/>
  <c r="E7" i="9"/>
  <c r="A7" i="9"/>
  <c r="D7" i="9" s="1"/>
  <c r="Z1" i="9"/>
  <c r="A9" i="9" s="1"/>
  <c r="E9" i="9" s="1"/>
  <c r="B9" i="9" l="1"/>
  <c r="C9" i="9"/>
  <c r="G28" i="9"/>
  <c r="D9" i="9"/>
  <c r="H28" i="9"/>
  <c r="F29" i="9"/>
  <c r="G29" i="9"/>
  <c r="H29" i="9"/>
  <c r="B20" i="9"/>
  <c r="I29" i="9"/>
  <c r="E20" i="9"/>
  <c r="A37" i="9" a="1"/>
  <c r="A37" i="9" s="1"/>
  <c r="A46" i="9" s="1"/>
  <c r="A38" i="9" a="1"/>
  <c r="A38" i="9" s="1"/>
  <c r="B38" i="9" s="1"/>
  <c r="C20" i="9"/>
  <c r="C16" i="9"/>
  <c r="C18" i="9"/>
  <c r="D16" i="9"/>
  <c r="D18" i="9"/>
  <c r="D20" i="9"/>
  <c r="E8" i="9"/>
  <c r="D8" i="9"/>
  <c r="C8" i="9"/>
  <c r="B8" i="9"/>
  <c r="D37" i="9"/>
  <c r="C37" i="9"/>
  <c r="B37" i="9"/>
  <c r="G17" i="9"/>
  <c r="F17" i="9"/>
  <c r="E17" i="9"/>
  <c r="D17" i="9"/>
  <c r="C17" i="9"/>
  <c r="B17" i="9"/>
  <c r="G24" i="9"/>
  <c r="F24" i="9"/>
  <c r="I24" i="9" s="1"/>
  <c r="E24" i="9"/>
  <c r="D24" i="9"/>
  <c r="C24" i="9"/>
  <c r="G15" i="9"/>
  <c r="F15" i="9"/>
  <c r="E15" i="9"/>
  <c r="D15" i="9"/>
  <c r="C15" i="9"/>
  <c r="B24" i="9"/>
  <c r="G27" i="9"/>
  <c r="F27" i="9"/>
  <c r="I27" i="9" s="1"/>
  <c r="E27" i="9"/>
  <c r="A36" i="9" a="1"/>
  <c r="A36" i="9" s="1"/>
  <c r="D27" i="9"/>
  <c r="B15" i="9"/>
  <c r="E18" i="9"/>
  <c r="B27" i="9"/>
  <c r="B10" i="9"/>
  <c r="F18" i="9"/>
  <c r="A34" i="9" a="1"/>
  <c r="A34" i="9" s="1"/>
  <c r="C27" i="9"/>
  <c r="H27" i="9" s="1"/>
  <c r="A33" i="9" a="1"/>
  <c r="A33" i="9" s="1"/>
  <c r="C10" i="9"/>
  <c r="G18" i="9"/>
  <c r="B25" i="9"/>
  <c r="H25" i="9" s="1"/>
  <c r="D10" i="9"/>
  <c r="G19" i="9"/>
  <c r="F19" i="9"/>
  <c r="E19" i="9"/>
  <c r="D19" i="9"/>
  <c r="C19" i="9"/>
  <c r="C25" i="9"/>
  <c r="B28" i="9"/>
  <c r="B19" i="9"/>
  <c r="D25" i="9"/>
  <c r="C28" i="9"/>
  <c r="B7" i="9"/>
  <c r="E25" i="9"/>
  <c r="D28" i="9"/>
  <c r="E38" i="9"/>
  <c r="D38" i="9"/>
  <c r="C38" i="9"/>
  <c r="C7" i="9"/>
  <c r="F25" i="9"/>
  <c r="E28" i="9"/>
  <c r="G25" i="9"/>
  <c r="I25" i="9" s="1"/>
  <c r="F28" i="9"/>
  <c r="B11" i="9"/>
  <c r="C11" i="9"/>
  <c r="A26" i="9"/>
  <c r="B29" i="9"/>
  <c r="A6" i="9"/>
  <c r="D11" i="9"/>
  <c r="C29" i="9"/>
  <c r="D29" i="9"/>
  <c r="H24" i="9" l="1"/>
  <c r="E37" i="9"/>
  <c r="A47" i="9"/>
  <c r="F47" i="9" s="1"/>
  <c r="B6" i="9"/>
  <c r="B33" i="9" s="1"/>
  <c r="E6" i="9"/>
  <c r="E33" i="9" s="1"/>
  <c r="D6" i="9"/>
  <c r="D36" i="9" s="1"/>
  <c r="C6" i="9"/>
  <c r="C33" i="9" s="1"/>
  <c r="D26" i="9"/>
  <c r="C26" i="9"/>
  <c r="B26" i="9"/>
  <c r="A35" i="9" a="1"/>
  <c r="A35" i="9" s="1"/>
  <c r="H26" i="9"/>
  <c r="G26" i="9"/>
  <c r="F26" i="9"/>
  <c r="I26" i="9" s="1"/>
  <c r="E26" i="9"/>
  <c r="A45" i="9"/>
  <c r="D46" i="9"/>
  <c r="C46" i="9"/>
  <c r="B46" i="9"/>
  <c r="J46" i="9"/>
  <c r="I46" i="9"/>
  <c r="H46" i="9"/>
  <c r="G46" i="9"/>
  <c r="F46" i="9"/>
  <c r="E46" i="9"/>
  <c r="A42" i="9"/>
  <c r="A43" i="9"/>
  <c r="E34" i="9"/>
  <c r="D34" i="9"/>
  <c r="H47" i="9"/>
  <c r="G47" i="9"/>
  <c r="B34" i="9" l="1"/>
  <c r="B36" i="9"/>
  <c r="C34" i="9"/>
  <c r="E36" i="9"/>
  <c r="I47" i="9"/>
  <c r="J47" i="9"/>
  <c r="B47" i="9"/>
  <c r="C47" i="9"/>
  <c r="D47" i="9"/>
  <c r="E47" i="9"/>
  <c r="J42" i="9"/>
  <c r="D42" i="9"/>
  <c r="I42" i="9"/>
  <c r="H42" i="9"/>
  <c r="E42" i="9"/>
  <c r="A44" i="9"/>
  <c r="E35" i="9"/>
  <c r="D35" i="9"/>
  <c r="C35" i="9"/>
  <c r="B35" i="9"/>
  <c r="C36" i="9"/>
  <c r="B45" i="9" s="1"/>
  <c r="E43" i="9"/>
  <c r="D43" i="9"/>
  <c r="C43" i="9"/>
  <c r="B43" i="9"/>
  <c r="J43" i="9"/>
  <c r="I43" i="9"/>
  <c r="H43" i="9"/>
  <c r="J45" i="9"/>
  <c r="I45" i="9"/>
  <c r="H45" i="9"/>
  <c r="E45" i="9"/>
  <c r="D45" i="9"/>
  <c r="C45" i="9"/>
  <c r="D33" i="9"/>
  <c r="B42" i="9" s="1"/>
  <c r="F43" i="9" l="1"/>
  <c r="G43" i="9" s="1"/>
  <c r="F45" i="9"/>
  <c r="G45" i="9" s="1"/>
  <c r="F42" i="9"/>
  <c r="G42" i="9" s="1"/>
  <c r="C42" i="9"/>
  <c r="J44" i="9"/>
  <c r="I44" i="9"/>
  <c r="H44" i="9"/>
  <c r="E44" i="9"/>
  <c r="F44" i="9" s="1"/>
  <c r="D44" i="9"/>
  <c r="G44" i="9" s="1"/>
  <c r="C44" i="9"/>
  <c r="B44" i="9"/>
</calcChain>
</file>

<file path=xl/sharedStrings.xml><?xml version="1.0" encoding="utf-8"?>
<sst xmlns="http://schemas.openxmlformats.org/spreadsheetml/2006/main" count="911" uniqueCount="222">
  <si>
    <t>Catering OR Project — Instance Overview (v3)</t>
  </si>
  <si>
    <t>Instance</t>
  </si>
  <si>
    <t>Design goal</t>
  </si>
  <si>
    <t>Key parameter lever</t>
  </si>
  <si>
    <t>Instance 1 (Base)</t>
  </si>
  <si>
    <t>All mechanisms active simultaneously</t>
  </si>
  <si>
    <t>Balanced costs; m/M 0.71–0.89; breakeven ≤ L for all L≥2</t>
  </si>
  <si>
    <t>Instance 2 (No Discount)</t>
  </si>
  <si>
    <t>Discount blocked by design</t>
  </si>
  <si>
    <t>L=1 everywhere; m=200 &gt;&gt; M_i (≤70); high waste cost</t>
  </si>
  <si>
    <t>Instance 3 (Carryover)</t>
  </si>
  <si>
    <t>Bulk-buy + cross-week carryover dominates</t>
  </si>
  <si>
    <t>L=2–3; breakeven 1.5–2.5 wks; 30% discount savings</t>
  </si>
  <si>
    <t>Instance 4 (Sensitivity)</t>
  </si>
  <si>
    <t>Isolate cost-parameter effects</t>
  </si>
  <si>
    <t>Flat demand; 10-scenario sweep of w_i, h_i, m_i</t>
  </si>
  <si>
    <t>Instance 5 (Large)</t>
  </si>
  <si>
    <t>Scalability: |I|=6, |D|=6</t>
  </si>
  <si>
    <t>Coupled demand; all checks satisfied; Rice L=3</t>
  </si>
  <si>
    <t>Parameter design rules enforced in all instances:
  Rule 1 (m≤M_i): discount threshold must not exceed max cumulative demand over L consecutive weeks — except Instance 2 where discount is intentionally blocked.
  Rule 2 (breakeven≤L): holding cost h_i set so (c_i−c̄_i)/h_i ≤ L_i for all L≥2 ingredients — ensures bulk-buying is economically rational.
  Rule 3: c̄_i &lt; c_i (discounted price strictly below regular price) for all ingredients.</t>
  </si>
  <si>
    <t>Parameter Checks — All 22 Ingredient × Instance Combinations</t>
  </si>
  <si>
    <t>Rule 1: m_i ≤ M_i (except Instance 2 — intentional block)  |  Rule 2: breakeven = (c−c̄)/h ≤ L  (N/A when L=1)  |  Green=pass  Amber=intentional  Red=fail</t>
  </si>
  <si>
    <t>Ingredient</t>
  </si>
  <si>
    <t>L</t>
  </si>
  <si>
    <t>m_i</t>
  </si>
  <si>
    <t>M_i</t>
  </si>
  <si>
    <t>m/M</t>
  </si>
  <si>
    <t>Saving</t>
  </si>
  <si>
    <t>Breakeven
(wks)</t>
  </si>
  <si>
    <t>Rule 1: m≤M</t>
  </si>
  <si>
    <t>Rule 2: be≤L</t>
  </si>
  <si>
    <t>Overall</t>
  </si>
  <si>
    <t>Chicken Leg</t>
  </si>
  <si>
    <t>0.71</t>
  </si>
  <si>
    <t>✓ 0.71</t>
  </si>
  <si>
    <t>✓ 1.67wks</t>
  </si>
  <si>
    <t>✓ OK</t>
  </si>
  <si>
    <t>Tomato</t>
  </si>
  <si>
    <t>0.85</t>
  </si>
  <si>
    <t>✓ 0.85</t>
  </si>
  <si>
    <t>N/A (L=1)</t>
  </si>
  <si>
    <t>Egg</t>
  </si>
  <si>
    <t>0.82</t>
  </si>
  <si>
    <t>✓ 0.82</t>
  </si>
  <si>
    <t>✓ 1.5wks</t>
  </si>
  <si>
    <t>Spinach</t>
  </si>
  <si>
    <t>0.89</t>
  </si>
  <si>
    <t>✓ 0.89</t>
  </si>
  <si>
    <t>8.00</t>
  </si>
  <si>
    <t>✓ Intentional</t>
  </si>
  <si>
    <t>5.00</t>
  </si>
  <si>
    <t>2.86</t>
  </si>
  <si>
    <t>0.51</t>
  </si>
  <si>
    <t>✓ 0.51</t>
  </si>
  <si>
    <t>✓ 2.5wks</t>
  </si>
  <si>
    <t>0.58</t>
  </si>
  <si>
    <t>✓ 0.58</t>
  </si>
  <si>
    <t>✓ 1.88wks</t>
  </si>
  <si>
    <t>0.56</t>
  </si>
  <si>
    <t>✓ 0.56</t>
  </si>
  <si>
    <t>✓ 1.56wks</t>
  </si>
  <si>
    <t>0.83</t>
  </si>
  <si>
    <t>✓ 0.83</t>
  </si>
  <si>
    <t>0.86</t>
  </si>
  <si>
    <t>✓ 0.86</t>
  </si>
  <si>
    <t>0.90</t>
  </si>
  <si>
    <t>✓ 0.90</t>
  </si>
  <si>
    <t>Chicken</t>
  </si>
  <si>
    <t>0.41</t>
  </si>
  <si>
    <t>✓ 0.41</t>
  </si>
  <si>
    <t>✓ 1.62wks</t>
  </si>
  <si>
    <t>Beef</t>
  </si>
  <si>
    <t>0.44</t>
  </si>
  <si>
    <t>✓ 0.44</t>
  </si>
  <si>
    <t>✓ 1.8wks</t>
  </si>
  <si>
    <t>0.81</t>
  </si>
  <si>
    <t>✓ 0.81</t>
  </si>
  <si>
    <t>0.73</t>
  </si>
  <si>
    <t>✓ 0.73</t>
  </si>
  <si>
    <t>✓ 1.6wks</t>
  </si>
  <si>
    <t>Rice</t>
  </si>
  <si>
    <t>0.65</t>
  </si>
  <si>
    <t>✓ 0.65</t>
  </si>
  <si>
    <t>✓ 2.0wks</t>
  </si>
  <si>
    <t>Instance 1 (Base)  —  Base illustrative case</t>
  </si>
  <si>
    <t>Design goal: All model mechanisms active simultaneously</t>
  </si>
  <si>
    <t>A.  Weekly demand  (servings per dish per week)</t>
  </si>
  <si>
    <t>Dish</t>
  </si>
  <si>
    <t>Week 1</t>
  </si>
  <si>
    <t>Week 2</t>
  </si>
  <si>
    <t>Week 3</t>
  </si>
  <si>
    <t>Week 4</t>
  </si>
  <si>
    <t>D1 (Tomato-Egg)</t>
  </si>
  <si>
    <t>D2 (Spinach)</t>
  </si>
  <si>
    <t>D3 (Chicken)</t>
  </si>
  <si>
    <t>B.  Recipes  (units of ingredient per serving)</t>
  </si>
  <si>
    <t>Dish \ Ingredient</t>
  </si>
  <si>
    <t>C.  Derived ingredient demand  (units per week, from recipes × dish demand)</t>
  </si>
  <si>
    <t>Total</t>
  </si>
  <si>
    <t>Max weekly</t>
  </si>
  <si>
    <t>D.  Ingredient parameters</t>
  </si>
  <si>
    <t>c_i (regular)</t>
  </si>
  <si>
    <t>c̄_i (discount)</t>
  </si>
  <si>
    <t>m_i (threshold)</t>
  </si>
  <si>
    <t>L_i (shelf wks)</t>
  </si>
  <si>
    <t>h_i (holding)</t>
  </si>
  <si>
    <t>w_i (waste)</t>
  </si>
  <si>
    <t>Saving %</t>
  </si>
  <si>
    <t>Breakeven</t>
  </si>
  <si>
    <t>be≤L?</t>
  </si>
  <si>
    <t>10.0%</t>
  </si>
  <si>
    <t>✓</t>
  </si>
  <si>
    <t>15.0%</t>
  </si>
  <si>
    <t>N/A</t>
  </si>
  <si>
    <t>12.0%</t>
  </si>
  <si>
    <t>7.5%</t>
  </si>
  <si>
    <t>E.  Instance notes &amp; expected model behaviour</t>
  </si>
  <si>
    <t>Base case: all model mechanisms active.
• Demand varies across weeks (70–100 servings) — discount thresholds reachable with modest planning.
• Chicken Leg &amp; Egg (L=2): can carry 1 week; Tomato &amp; Spinach (L=1): buy fresh each week.
• h values set so breakeven ≤ L for L≥2 ingredients (discount holding is economical).
• m values set below M_i (m/M ratio 0.71–0.89): discount reachable every instance.
• Expected: discount activated for Chicken Leg and Egg in high-demand weeks.</t>
  </si>
  <si>
    <t>Instance 2 (No Discount)  —  Discount never activated</t>
  </si>
  <si>
    <t>Design goal: High threshold + L=1 for all ingredients blocks discount</t>
  </si>
  <si>
    <t>Discount-blocked instance: intentional design.
• ALL ingredients have L=1 (must buy fresh each week — no carryover possible).
• m=200 for all ingredients; max weekly demand ≤ 70 units → m &gt;&gt; M_i (discount unreachable by design).
• High waste costs (2–5× Instance 1) heavily penalise any excess purchase.
• Breakeven check irrelevant for L=1 (nothing can be held over).
• Expected: u_i,t=0 for all i,t; model buys exactly to demand every week.</t>
  </si>
  <si>
    <t>Instance 3 (Carryover)  —  Bulk-buy + carryover dominates</t>
  </si>
  <si>
    <t>Design goal: Long shelf &amp; economical holding reward advance purchasing</t>
  </si>
  <si>
    <t>30.0%</t>
  </si>
  <si>
    <t>31.2%</t>
  </si>
  <si>
    <t>Carryover-dominant instance.
• Demand is deliberately spiky (low–high–low–high: 15–90 or 20–120 servings/week).
• Long shelf lives (L=2–3) allow buying ahead in week 1 to cover week 2 spike.
• h values set so breakeven ≤ L (1.5–2.5 wks &lt; shelf life): holding IS economical.
• Discount savings are large (30–31%): strong incentive to hit the threshold.
• Expected: model bulk-purchases in wk 1 for wk 2, and wk 3 for wk 4; waste≈0.</t>
  </si>
  <si>
    <t>Instance 4 (Sensitivity)  —  Sensitivity analysis</t>
  </si>
  <si>
    <t>Design goal: Flat demand isolates individual cost-parameter effects</t>
  </si>
  <si>
    <t>Sensitivity instance: flat demand (constant every week) isolates cost-parameter effects.
• All parameters satisfy both checks (m≤M_i and breakeven≤L) as baseline.
• Re-solve the model for each scenario in Section E below.
• Varying w_i: observe when waste penalty stops the model from discounting.
• Varying h_i: observe when holding cost kills the carryover incentive.
• Varying m_i: find the tipping threshold where discount is no longer activated.</t>
  </si>
  <si>
    <t>F.  Sensitivity scenarios (re-solve model for each row)</t>
  </si>
  <si>
    <t>Scenario</t>
  </si>
  <si>
    <t>Parameter</t>
  </si>
  <si>
    <t>Multiplier</t>
  </si>
  <si>
    <t>Concrete value</t>
  </si>
  <si>
    <t>Expected effect</t>
  </si>
  <si>
    <t>S1</t>
  </si>
  <si>
    <t>w_i (waste cost)</t>
  </si>
  <si>
    <t>×0.5</t>
  </si>
  <si>
    <t>0.50 $/unit (Chicken Leg)</t>
  </si>
  <si>
    <t>Less penalty → model tolerates mild over-purchase</t>
  </si>
  <si>
    <t>S2</t>
  </si>
  <si>
    <t>×1 (base)</t>
  </si>
  <si>
    <t>1.00 $/unit</t>
  </si>
  <si>
    <t>Reference — baseline solution</t>
  </si>
  <si>
    <t>S3</t>
  </si>
  <si>
    <t>×2</t>
  </si>
  <si>
    <t>2.00 $/unit</t>
  </si>
  <si>
    <t>Discount use drops; buy closer to demand</t>
  </si>
  <si>
    <t>S4</t>
  </si>
  <si>
    <t>×5</t>
  </si>
  <si>
    <t>5.00 $/unit</t>
  </si>
  <si>
    <t>Discount never activated; strict buy-to-demand</t>
  </si>
  <si>
    <t>S5</t>
  </si>
  <si>
    <t>0.15 $/unit/wk</t>
  </si>
  <si>
    <t>Lower h → more carryover; discount more often</t>
  </si>
  <si>
    <t>S6</t>
  </si>
  <si>
    <t>0.60 $/unit/wk</t>
  </si>
  <si>
    <t>Higher h → less carryover; smaller batches</t>
  </si>
  <si>
    <t>S7</t>
  </si>
  <si>
    <t>1.50 $/unit/wk</t>
  </si>
  <si>
    <t>Very high h → no carryover; buy fresh weekly</t>
  </si>
  <si>
    <t>S8</t>
  </si>
  <si>
    <t>50 units</t>
  </si>
  <si>
    <t>Discount trivially activated every week</t>
  </si>
  <si>
    <t>S9</t>
  </si>
  <si>
    <t>×1.5</t>
  </si>
  <si>
    <t>150 units</t>
  </si>
  <si>
    <t>Discount rarely activated; tests tipping point</t>
  </si>
  <si>
    <t>S10</t>
  </si>
  <si>
    <t>200 units</t>
  </si>
  <si>
    <t>Discount never activated (m &gt; M_i)</t>
  </si>
  <si>
    <t>Instance 5 (Large)  —  Large-scale scalability test</t>
  </si>
  <si>
    <t>Design goal: |I|=6, |D|=6: tests solver scaling and coupled ingredient demand</t>
  </si>
  <si>
    <t>D1 (Salad)</t>
  </si>
  <si>
    <t>D2 (Stir-fry)</t>
  </si>
  <si>
    <t>D3 (Roast)</t>
  </si>
  <si>
    <t>D4 (Soup)</t>
  </si>
  <si>
    <t>D5 (Sandwich)</t>
  </si>
  <si>
    <t>D6 (Bowl)</t>
  </si>
  <si>
    <t>14.4%</t>
  </si>
  <si>
    <t>18.0%</t>
  </si>
  <si>
    <t>17.5%</t>
  </si>
  <si>
    <t>16.0%</t>
  </si>
  <si>
    <t>20.0%</t>
  </si>
  <si>
    <t>Scalability instance: |I|=6, |D|=6, T=4 — roughly 3× the variable count of Instances 1–4.
• Multiple ingredients appear in 2–3 dishes (e.g. Chicken in D2/D4/D6; Egg in D1/D5/D6).
• All L≥2 ingredients satisfy breakeven ≤ L (h tuned accordingly).
• All m values below M_i (ratios 0.41–0.82): discount reachable with planning.
• Rice (L=3): can bulk-buy across 3 weeks; biggest carryover opportunity.
• Expected: discount for Egg &amp; Rice most likely; Chicken/Beef driven by coupled dish demand.</t>
  </si>
  <si>
    <t>dish_demand</t>
  </si>
  <si>
    <t xml:space="preserve">  week</t>
  </si>
  <si>
    <t xml:space="preserve">  dish</t>
  </si>
  <si>
    <t xml:space="preserve">  demand</t>
  </si>
  <si>
    <t>recipe</t>
  </si>
  <si>
    <t xml:space="preserve">  ingredient</t>
  </si>
  <si>
    <t xml:space="preserve">  amount</t>
  </si>
  <si>
    <t>ingredient_params</t>
  </si>
  <si>
    <t xml:space="preserve">  c_i</t>
  </si>
  <si>
    <t xml:space="preserve">  cbar_i</t>
  </si>
  <si>
    <t xml:space="preserve">  m_i</t>
  </si>
  <si>
    <t xml:space="preserve">  L_i</t>
  </si>
  <si>
    <t xml:space="preserve">  h_i</t>
  </si>
  <si>
    <t xml:space="preserve">  w_i</t>
  </si>
  <si>
    <t xml:space="preserve"> Input Tables </t>
  </si>
  <si>
    <t>Formula Generator</t>
  </si>
  <si>
    <t>Weekly dish demand</t>
  </si>
  <si>
    <t>Recipe matrix</t>
  </si>
  <si>
    <t>Ingredient parameters</t>
  </si>
  <si>
    <t>Regular cost</t>
  </si>
  <si>
    <t>Discount cost</t>
  </si>
  <si>
    <t>Min qty</t>
  </si>
  <si>
    <t>Shelf life</t>
  </si>
  <si>
    <t>Holding cost</t>
  </si>
  <si>
    <t>Waste cost</t>
  </si>
  <si>
    <t>Discount saving %</t>
  </si>
  <si>
    <t>w / h</t>
  </si>
  <si>
    <t>Ingredient demand</t>
  </si>
  <si>
    <t>Formula summary</t>
  </si>
  <si>
    <t>Total demand</t>
  </si>
  <si>
    <t>Max weekly demand</t>
  </si>
  <si>
    <t>Recommended M</t>
  </si>
  <si>
    <t>Reachable</t>
  </si>
  <si>
    <t>Breakeven (wks)</t>
  </si>
  <si>
    <t>Breakeven ≤ L?</t>
  </si>
  <si>
    <t>⚠ 2.8&gt;2</t>
  </si>
  <si>
    <t>⚠ 3.0&gt;2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</si>
</sst>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404040"/>
      <name val="Arial"/>
    </font>
    <font>
      <b/>
      <sz val="12"/>
      <color rgb="FFFFFFFF"/>
      <name val="Arial"/>
    </font>
    <font>
      <i/>
      <sz val="10"/>
      <color rgb="FF595959"/>
      <name val="Arial"/>
    </font>
    <font>
      <sz val="10"/>
      <color rgb="FF375623"/>
      <name val="Arial"/>
    </font>
    <font>
      <sz val="10"/>
      <color rgb="FF1F4E79"/>
      <name val="Arial"/>
    </font>
    <font>
      <sz val="10"/>
      <color rgb="FF7F6000"/>
      <name val="Arial"/>
    </font>
    <font>
      <i/>
      <sz val="9"/>
      <color rgb="FF595959"/>
      <name val="Arial"/>
    </font>
    <font>
      <b/>
      <sz val="10"/>
      <color rgb="FF1F4E79"/>
      <name val="Arial"/>
    </font>
    <font>
      <b/>
      <sz val="10"/>
      <color rgb="FF375623"/>
      <name val="Arial"/>
    </font>
    <font>
      <sz val="10"/>
      <color rgb="FF9C0006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4"/>
      <color rgb="FFFFFFFF"/>
      <name val="Arial"/>
    </font>
    <font>
      <sz val="11"/>
      <name val="Arial"/>
    </font>
    <font>
      <b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7E6E6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0" fillId="7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/>
    </xf>
    <xf numFmtId="0" fontId="16" fillId="0" borderId="0" xfId="0" applyFont="1"/>
    <xf numFmtId="0" fontId="2" fillId="3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18" fillId="0" borderId="0" xfId="0" applyFont="1" applyAlignment="1">
      <alignment wrapText="1"/>
    </xf>
    <xf numFmtId="0" fontId="19" fillId="11" borderId="0" xfId="0" applyFont="1" applyFill="1" applyAlignment="1">
      <alignment horizontal="center" vertical="center" wrapText="1"/>
    </xf>
    <xf numFmtId="1" fontId="18" fillId="0" borderId="0" xfId="0" applyNumberFormat="1" applyFont="1" applyAlignment="1">
      <alignment wrapText="1"/>
    </xf>
    <xf numFmtId="2" fontId="18" fillId="0" borderId="0" xfId="0" applyNumberFormat="1" applyFont="1" applyAlignment="1">
      <alignment wrapText="1"/>
    </xf>
    <xf numFmtId="166" fontId="18" fillId="0" borderId="0" xfId="0" applyNumberFormat="1" applyFont="1" applyAlignment="1">
      <alignment wrapText="1"/>
    </xf>
    <xf numFmtId="165" fontId="4" fillId="0" borderId="0" xfId="0" applyNumberFormat="1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ani\Downloads\OR_Group5_Instances_v2_2.xlsx" TargetMode="External"/><Relationship Id="rId1" Type="http://schemas.openxmlformats.org/officeDocument/2006/relationships/externalLinkPath" Target="OR_Group5_Instances_v2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agnostic Report"/>
      <sheetName val="Parameter Checks"/>
      <sheetName val="Overview"/>
      <sheetName val="Instance 1 (Base)"/>
      <sheetName val="Instance 2 (No Discount)"/>
      <sheetName val="Instance 3 (Carryover)"/>
      <sheetName val="Instance 4 (Sensitivity)"/>
      <sheetName val="Instance 5 (Large)"/>
      <sheetName val="Formula Generator"/>
      <sheetName val="Gurobi Input"/>
    </sheetNames>
    <sheetDataSet>
      <sheetData sheetId="0"/>
      <sheetData sheetId="1"/>
      <sheetData sheetId="2"/>
      <sheetData sheetId="3">
        <row r="6">
          <cell r="A6" t="str">
            <v>Dish</v>
          </cell>
          <cell r="B6" t="str">
            <v>Week 1</v>
          </cell>
          <cell r="C6" t="str">
            <v>Week 2</v>
          </cell>
          <cell r="D6" t="str">
            <v>Week 3</v>
          </cell>
          <cell r="E6" t="str">
            <v>Week 4</v>
          </cell>
        </row>
        <row r="7">
          <cell r="A7" t="str">
            <v>D1 (Tomato-Egg)</v>
          </cell>
          <cell r="B7">
            <v>80</v>
          </cell>
          <cell r="C7">
            <v>90</v>
          </cell>
          <cell r="D7">
            <v>70</v>
          </cell>
          <cell r="E7">
            <v>100</v>
          </cell>
        </row>
        <row r="8">
          <cell r="A8" t="str">
            <v>D2 (Spinach)</v>
          </cell>
          <cell r="B8">
            <v>60</v>
          </cell>
          <cell r="C8">
            <v>80</v>
          </cell>
          <cell r="D8">
            <v>90</v>
          </cell>
          <cell r="E8">
            <v>70</v>
          </cell>
        </row>
        <row r="12">
          <cell r="A12" t="str">
            <v>Dish \ Ingredient</v>
          </cell>
          <cell r="B12" t="str">
            <v>Chicken Leg</v>
          </cell>
          <cell r="C12" t="str">
            <v>Tomato</v>
          </cell>
          <cell r="D12" t="str">
            <v>Egg</v>
          </cell>
          <cell r="E12" t="str">
            <v>Spinach</v>
          </cell>
        </row>
        <row r="13">
          <cell r="A13" t="str">
            <v>D1 (Tomato-Egg)</v>
          </cell>
          <cell r="B13">
            <v>0</v>
          </cell>
          <cell r="C13">
            <v>1</v>
          </cell>
          <cell r="D13">
            <v>1</v>
          </cell>
          <cell r="E13">
            <v>0</v>
          </cell>
        </row>
        <row r="14">
          <cell r="A14" t="str">
            <v>D2 (Spinach)</v>
          </cell>
          <cell r="B14">
            <v>0</v>
          </cell>
          <cell r="C14">
            <v>0</v>
          </cell>
          <cell r="D14">
            <v>0</v>
          </cell>
          <cell r="E14">
            <v>2</v>
          </cell>
        </row>
        <row r="18">
          <cell r="A18" t="str">
            <v>Ingredient</v>
          </cell>
          <cell r="B18" t="str">
            <v>Regular cost cᵢ</v>
          </cell>
          <cell r="C18" t="str">
            <v>Disc. cost c̄ᵢ</v>
          </cell>
          <cell r="D18" t="str">
            <v>Min qty mᵢ</v>
          </cell>
          <cell r="E18" t="str">
            <v>Shelf life Lᵢ (wks)</v>
          </cell>
          <cell r="F18" t="str">
            <v>Holding cost hᵢ</v>
          </cell>
          <cell r="G18" t="str">
            <v>Waste cost wᵢ</v>
          </cell>
        </row>
        <row r="19">
          <cell r="A19" t="str">
            <v>Chicken Leg</v>
          </cell>
          <cell r="B19">
            <v>5</v>
          </cell>
          <cell r="C19">
            <v>4.5</v>
          </cell>
          <cell r="D19">
            <v>100</v>
          </cell>
          <cell r="E19">
            <v>2</v>
          </cell>
          <cell r="F19">
            <v>0.18</v>
          </cell>
          <cell r="G19">
            <v>1</v>
          </cell>
        </row>
        <row r="20">
          <cell r="A20" t="str">
            <v>Tomato</v>
          </cell>
          <cell r="B20">
            <v>1</v>
          </cell>
          <cell r="C20">
            <v>0.85</v>
          </cell>
          <cell r="D20">
            <v>90</v>
          </cell>
          <cell r="E20">
            <v>1</v>
          </cell>
          <cell r="F20">
            <v>0.05</v>
          </cell>
          <cell r="G20">
            <v>0.3</v>
          </cell>
        </row>
        <row r="21">
          <cell r="A21" t="str">
            <v>Egg</v>
          </cell>
          <cell r="B21">
            <v>0.5</v>
          </cell>
          <cell r="C21">
            <v>0.44</v>
          </cell>
          <cell r="D21">
            <v>150</v>
          </cell>
          <cell r="E21">
            <v>2</v>
          </cell>
          <cell r="F21">
            <v>0.02</v>
          </cell>
          <cell r="G21">
            <v>0.1</v>
          </cell>
        </row>
      </sheetData>
      <sheetData sheetId="4">
        <row r="6">
          <cell r="A6" t="str">
            <v>D1 (Tomato-Egg)</v>
          </cell>
          <cell r="B6">
            <v>40</v>
          </cell>
          <cell r="C6">
            <v>35</v>
          </cell>
          <cell r="D6">
            <v>30</v>
          </cell>
          <cell r="E6">
            <v>40</v>
          </cell>
        </row>
        <row r="7">
          <cell r="A7" t="str">
            <v>D2 (Spinach)</v>
          </cell>
          <cell r="B7">
            <v>30</v>
          </cell>
          <cell r="C7">
            <v>25</v>
          </cell>
          <cell r="D7">
            <v>35</v>
          </cell>
          <cell r="E7">
            <v>30</v>
          </cell>
        </row>
        <row r="8">
          <cell r="A8" t="str">
            <v>D3 (Chicken)</v>
          </cell>
          <cell r="B8">
            <v>20</v>
          </cell>
          <cell r="C8">
            <v>25</v>
          </cell>
          <cell r="D8">
            <v>20</v>
          </cell>
          <cell r="E8">
            <v>25</v>
          </cell>
        </row>
        <row r="11">
          <cell r="B11" t="str">
            <v>Chicken Leg</v>
          </cell>
          <cell r="C11" t="str">
            <v>Tomato</v>
          </cell>
          <cell r="D11" t="str">
            <v>Egg</v>
          </cell>
          <cell r="E11" t="str">
            <v>Spinach</v>
          </cell>
        </row>
        <row r="12">
          <cell r="A12" t="str">
            <v>D1 (Tomato-Egg)</v>
          </cell>
          <cell r="B12">
            <v>0</v>
          </cell>
          <cell r="C12">
            <v>1</v>
          </cell>
          <cell r="D12">
            <v>1</v>
          </cell>
          <cell r="E12">
            <v>0</v>
          </cell>
        </row>
        <row r="13">
          <cell r="A13" t="str">
            <v>D2 (Spinach)</v>
          </cell>
          <cell r="B13">
            <v>0</v>
          </cell>
          <cell r="C13">
            <v>0</v>
          </cell>
          <cell r="D13">
            <v>0</v>
          </cell>
          <cell r="E13">
            <v>2</v>
          </cell>
        </row>
        <row r="14">
          <cell r="A14" t="str">
            <v>D3 (Chicken)</v>
          </cell>
          <cell r="B14">
            <v>1</v>
          </cell>
          <cell r="C14">
            <v>0</v>
          </cell>
          <cell r="D14">
            <v>0</v>
          </cell>
          <cell r="E14">
            <v>0</v>
          </cell>
        </row>
        <row r="18">
          <cell r="A18" t="str">
            <v>Chicken Leg</v>
          </cell>
          <cell r="B18">
            <v>5</v>
          </cell>
          <cell r="C18">
            <v>4.5</v>
          </cell>
          <cell r="D18">
            <v>200</v>
          </cell>
          <cell r="E18">
            <v>1</v>
          </cell>
          <cell r="F18">
            <v>0.2</v>
          </cell>
          <cell r="G18">
            <v>2.5</v>
          </cell>
        </row>
        <row r="19">
          <cell r="A19" t="str">
            <v>Tomato</v>
          </cell>
          <cell r="B19">
            <v>1</v>
          </cell>
          <cell r="C19">
            <v>0.85</v>
          </cell>
          <cell r="D19">
            <v>400</v>
          </cell>
          <cell r="E19">
            <v>1</v>
          </cell>
          <cell r="F19">
            <v>0.05</v>
          </cell>
          <cell r="G19">
            <v>0.8</v>
          </cell>
        </row>
        <row r="20">
          <cell r="A20" t="str">
            <v>Egg</v>
          </cell>
          <cell r="B20">
            <v>0.5</v>
          </cell>
          <cell r="C20">
            <v>0.44</v>
          </cell>
          <cell r="D20">
            <v>600</v>
          </cell>
          <cell r="E20">
            <v>1</v>
          </cell>
          <cell r="F20">
            <v>0.02</v>
          </cell>
          <cell r="G20">
            <v>0.4</v>
          </cell>
        </row>
        <row r="21">
          <cell r="A21" t="str">
            <v>Spinach</v>
          </cell>
          <cell r="B21">
            <v>0.8</v>
          </cell>
          <cell r="C21">
            <v>0.74</v>
          </cell>
          <cell r="D21">
            <v>300</v>
          </cell>
          <cell r="E21">
            <v>1</v>
          </cell>
          <cell r="F21">
            <v>0.03</v>
          </cell>
          <cell r="G21">
            <v>0.7</v>
          </cell>
        </row>
      </sheetData>
      <sheetData sheetId="5">
        <row r="6">
          <cell r="A6" t="str">
            <v>Dish</v>
          </cell>
          <cell r="B6" t="str">
            <v>Week 1</v>
          </cell>
          <cell r="C6" t="str">
            <v>Week 2</v>
          </cell>
          <cell r="D6" t="str">
            <v>Week 3</v>
          </cell>
          <cell r="E6" t="str">
            <v>Week 4</v>
          </cell>
        </row>
        <row r="7">
          <cell r="A7" t="str">
            <v>D1 (Tomato-Egg)</v>
          </cell>
          <cell r="B7">
            <v>20</v>
          </cell>
          <cell r="C7">
            <v>120</v>
          </cell>
          <cell r="D7">
            <v>20</v>
          </cell>
          <cell r="E7">
            <v>120</v>
          </cell>
        </row>
        <row r="8">
          <cell r="A8" t="str">
            <v>D2 (Spinach)</v>
          </cell>
          <cell r="B8">
            <v>10</v>
          </cell>
          <cell r="C8">
            <v>80</v>
          </cell>
          <cell r="D8">
            <v>10</v>
          </cell>
          <cell r="E8">
            <v>80</v>
          </cell>
        </row>
        <row r="12">
          <cell r="A12" t="str">
            <v>Dish \ Ingredient</v>
          </cell>
          <cell r="B12" t="str">
            <v>Chicken Leg</v>
          </cell>
          <cell r="C12" t="str">
            <v>Tomato</v>
          </cell>
          <cell r="D12" t="str">
            <v>Egg</v>
          </cell>
          <cell r="E12" t="str">
            <v>Spinach</v>
          </cell>
        </row>
        <row r="13">
          <cell r="A13" t="str">
            <v>D1 (Tomato-Egg)</v>
          </cell>
          <cell r="B13">
            <v>0</v>
          </cell>
          <cell r="C13">
            <v>1</v>
          </cell>
          <cell r="D13">
            <v>1</v>
          </cell>
          <cell r="E13">
            <v>0</v>
          </cell>
        </row>
        <row r="14">
          <cell r="A14" t="str">
            <v>D2 (Spinach)</v>
          </cell>
          <cell r="B14">
            <v>0</v>
          </cell>
          <cell r="C14">
            <v>0</v>
          </cell>
          <cell r="D14">
            <v>0</v>
          </cell>
          <cell r="E14">
            <v>2</v>
          </cell>
        </row>
        <row r="18">
          <cell r="A18" t="str">
            <v>Ingredient</v>
          </cell>
          <cell r="B18" t="str">
            <v>Regular cost cᵢ</v>
          </cell>
          <cell r="C18" t="str">
            <v>Disc. cost c̄ᵢ</v>
          </cell>
          <cell r="D18" t="str">
            <v>Min qty mᵢ</v>
          </cell>
          <cell r="E18" t="str">
            <v>Shelf life Lᵢ (wks)</v>
          </cell>
          <cell r="F18" t="str">
            <v>Holding cost hᵢ</v>
          </cell>
          <cell r="G18" t="str">
            <v>Waste cost wᵢ</v>
          </cell>
        </row>
        <row r="19">
          <cell r="A19" t="str">
            <v>Chicken Leg</v>
          </cell>
          <cell r="B19">
            <v>5</v>
          </cell>
          <cell r="C19">
            <v>3.5</v>
          </cell>
          <cell r="D19">
            <v>100</v>
          </cell>
          <cell r="E19">
            <v>3</v>
          </cell>
          <cell r="F19">
            <v>0.55000000000000004</v>
          </cell>
          <cell r="G19">
            <v>0.5</v>
          </cell>
        </row>
        <row r="20">
          <cell r="A20" t="str">
            <v>Tomato</v>
          </cell>
          <cell r="B20">
            <v>1</v>
          </cell>
          <cell r="C20">
            <v>0.7</v>
          </cell>
          <cell r="D20">
            <v>100</v>
          </cell>
          <cell r="E20">
            <v>2</v>
          </cell>
          <cell r="F20">
            <v>0.2</v>
          </cell>
          <cell r="G20">
            <v>0.15</v>
          </cell>
        </row>
        <row r="21">
          <cell r="A21" t="str">
            <v>Egg</v>
          </cell>
          <cell r="B21">
            <v>0.5</v>
          </cell>
          <cell r="C21">
            <v>0.35</v>
          </cell>
          <cell r="D21">
            <v>150</v>
          </cell>
          <cell r="E21">
            <v>3</v>
          </cell>
          <cell r="F21">
            <v>0.1</v>
          </cell>
          <cell r="G21">
            <v>0.05</v>
          </cell>
        </row>
      </sheetData>
      <sheetData sheetId="6">
        <row r="6">
          <cell r="A6" t="str">
            <v>Dish</v>
          </cell>
          <cell r="B6" t="str">
            <v>Week 1</v>
          </cell>
          <cell r="C6" t="str">
            <v>Week 2</v>
          </cell>
          <cell r="D6" t="str">
            <v>Week 3</v>
          </cell>
          <cell r="E6" t="str">
            <v>Week 4</v>
          </cell>
        </row>
        <row r="7">
          <cell r="A7" t="str">
            <v>D1 (Tomato-Egg)</v>
          </cell>
          <cell r="B7">
            <v>70</v>
          </cell>
          <cell r="C7">
            <v>70</v>
          </cell>
          <cell r="D7">
            <v>70</v>
          </cell>
          <cell r="E7">
            <v>70</v>
          </cell>
        </row>
        <row r="8">
          <cell r="A8" t="str">
            <v>D2 (Spinach)</v>
          </cell>
          <cell r="B8">
            <v>50</v>
          </cell>
          <cell r="C8">
            <v>50</v>
          </cell>
          <cell r="D8">
            <v>50</v>
          </cell>
          <cell r="E8">
            <v>50</v>
          </cell>
        </row>
        <row r="12">
          <cell r="A12" t="str">
            <v>Dish \ Ingredient</v>
          </cell>
          <cell r="B12" t="str">
            <v>Chicken Leg</v>
          </cell>
          <cell r="C12" t="str">
            <v>Tomato</v>
          </cell>
          <cell r="D12" t="str">
            <v>Egg</v>
          </cell>
          <cell r="E12" t="str">
            <v>Spinach</v>
          </cell>
        </row>
        <row r="13">
          <cell r="A13" t="str">
            <v>D1 (Tomato-Egg)</v>
          </cell>
          <cell r="B13">
            <v>0</v>
          </cell>
          <cell r="C13">
            <v>1</v>
          </cell>
          <cell r="D13">
            <v>1</v>
          </cell>
          <cell r="E13">
            <v>0</v>
          </cell>
        </row>
        <row r="14">
          <cell r="A14" t="str">
            <v>D2 (Spinach)</v>
          </cell>
          <cell r="B14">
            <v>0</v>
          </cell>
          <cell r="C14">
            <v>0</v>
          </cell>
          <cell r="D14">
            <v>0</v>
          </cell>
          <cell r="E14">
            <v>2</v>
          </cell>
        </row>
        <row r="18">
          <cell r="A18" t="str">
            <v>Ingredient</v>
          </cell>
          <cell r="B18" t="str">
            <v>Regular cost cᵢ</v>
          </cell>
          <cell r="C18" t="str">
            <v>Disc. cost c̄ᵢ</v>
          </cell>
          <cell r="D18" t="str">
            <v>Min qty mᵢ</v>
          </cell>
          <cell r="E18" t="str">
            <v>Shelf life Lᵢ (wks)</v>
          </cell>
          <cell r="F18" t="str">
            <v>Holding cost hᵢ</v>
          </cell>
          <cell r="G18" t="str">
            <v>Waste cost wᵢ</v>
          </cell>
        </row>
        <row r="19">
          <cell r="A19" t="str">
            <v>Chicken Leg</v>
          </cell>
          <cell r="B19">
            <v>5</v>
          </cell>
          <cell r="C19">
            <v>4.5</v>
          </cell>
          <cell r="D19">
            <v>100</v>
          </cell>
          <cell r="E19">
            <v>2</v>
          </cell>
          <cell r="F19">
            <v>0.2</v>
          </cell>
          <cell r="G19">
            <v>1</v>
          </cell>
        </row>
        <row r="20">
          <cell r="A20" t="str">
            <v>Tomato</v>
          </cell>
          <cell r="B20">
            <v>1</v>
          </cell>
          <cell r="C20">
            <v>0.85</v>
          </cell>
          <cell r="D20">
            <v>65</v>
          </cell>
          <cell r="E20">
            <v>1</v>
          </cell>
          <cell r="F20">
            <v>0.05</v>
          </cell>
          <cell r="G20">
            <v>0.3</v>
          </cell>
        </row>
        <row r="21">
          <cell r="A21" t="str">
            <v>Egg</v>
          </cell>
          <cell r="B21">
            <v>0.5</v>
          </cell>
          <cell r="C21">
            <v>0.44</v>
          </cell>
          <cell r="D21">
            <v>130</v>
          </cell>
          <cell r="E21">
            <v>2</v>
          </cell>
          <cell r="F21">
            <v>0.02</v>
          </cell>
          <cell r="G21">
            <v>0.1</v>
          </cell>
        </row>
      </sheetData>
      <sheetData sheetId="7">
        <row r="6">
          <cell r="A6" t="str">
            <v>D1 (Salad)</v>
          </cell>
          <cell r="B6">
            <v>80</v>
          </cell>
          <cell r="C6">
            <v>95</v>
          </cell>
          <cell r="D6">
            <v>70</v>
          </cell>
          <cell r="E6">
            <v>110</v>
          </cell>
        </row>
        <row r="7">
          <cell r="A7" t="str">
            <v>D2 (Stir-fry)</v>
          </cell>
          <cell r="B7">
            <v>70</v>
          </cell>
          <cell r="C7">
            <v>80</v>
          </cell>
          <cell r="D7">
            <v>90</v>
          </cell>
          <cell r="E7">
            <v>85</v>
          </cell>
        </row>
        <row r="8">
          <cell r="A8" t="str">
            <v>D3 (Roast)</v>
          </cell>
          <cell r="B8">
            <v>60</v>
          </cell>
          <cell r="C8">
            <v>75</v>
          </cell>
          <cell r="D8">
            <v>65</v>
          </cell>
          <cell r="E8">
            <v>80</v>
          </cell>
        </row>
        <row r="9">
          <cell r="A9" t="str">
            <v>D4 (Soup)</v>
          </cell>
          <cell r="B9">
            <v>55</v>
          </cell>
          <cell r="C9">
            <v>60</v>
          </cell>
          <cell r="D9">
            <v>70</v>
          </cell>
          <cell r="E9">
            <v>65</v>
          </cell>
        </row>
        <row r="10">
          <cell r="A10" t="str">
            <v>D5 (Sandwich)</v>
          </cell>
          <cell r="B10">
            <v>90</v>
          </cell>
          <cell r="C10">
            <v>85</v>
          </cell>
          <cell r="D10">
            <v>95</v>
          </cell>
          <cell r="E10">
            <v>100</v>
          </cell>
        </row>
        <row r="11">
          <cell r="A11" t="str">
            <v>D6 (Bowl)</v>
          </cell>
          <cell r="B11">
            <v>75</v>
          </cell>
          <cell r="C11">
            <v>80</v>
          </cell>
          <cell r="D11">
            <v>85</v>
          </cell>
          <cell r="E11">
            <v>90</v>
          </cell>
        </row>
        <row r="14">
          <cell r="B14" t="str">
            <v>Chicken</v>
          </cell>
          <cell r="C14" t="str">
            <v>Beef</v>
          </cell>
          <cell r="D14" t="str">
            <v>Tomato</v>
          </cell>
          <cell r="E14" t="str">
            <v>Spinach</v>
          </cell>
          <cell r="F14" t="str">
            <v>Egg</v>
          </cell>
          <cell r="G14" t="str">
            <v>Rice</v>
          </cell>
        </row>
        <row r="15">
          <cell r="A15" t="str">
            <v>D1 (Salad)</v>
          </cell>
          <cell r="B15">
            <v>0</v>
          </cell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</row>
        <row r="16">
          <cell r="A16" t="str">
            <v>D2 (Stir-fry)</v>
          </cell>
          <cell r="B16">
            <v>1</v>
          </cell>
          <cell r="C16">
            <v>0</v>
          </cell>
          <cell r="D16">
            <v>0</v>
          </cell>
          <cell r="E16">
            <v>2</v>
          </cell>
          <cell r="F16">
            <v>0</v>
          </cell>
          <cell r="G16">
            <v>1</v>
          </cell>
        </row>
        <row r="17">
          <cell r="A17" t="str">
            <v>D3 (Roast)</v>
          </cell>
          <cell r="B17">
            <v>0</v>
          </cell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D4 (Soup)</v>
          </cell>
          <cell r="B18">
            <v>1</v>
          </cell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</row>
        <row r="19">
          <cell r="A19" t="str">
            <v>D5 (Sandwich)</v>
          </cell>
          <cell r="B19">
            <v>0</v>
          </cell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</row>
        <row r="20">
          <cell r="A20" t="str">
            <v>D6 (Bowl)</v>
          </cell>
          <cell r="B20">
            <v>1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2</v>
          </cell>
        </row>
        <row r="24">
          <cell r="A24" t="str">
            <v>Chicken</v>
          </cell>
          <cell r="B24">
            <v>4.5</v>
          </cell>
          <cell r="C24">
            <v>3.85</v>
          </cell>
          <cell r="D24">
            <v>200</v>
          </cell>
          <cell r="E24">
            <v>2</v>
          </cell>
          <cell r="F24">
            <v>0.18</v>
          </cell>
          <cell r="G24">
            <v>1.2</v>
          </cell>
        </row>
        <row r="25">
          <cell r="A25" t="str">
            <v>Beef</v>
          </cell>
          <cell r="B25">
            <v>6</v>
          </cell>
          <cell r="C25">
            <v>5.0999999999999996</v>
          </cell>
          <cell r="D25">
            <v>150</v>
          </cell>
          <cell r="E25">
            <v>2</v>
          </cell>
          <cell r="F25">
            <v>0.22</v>
          </cell>
          <cell r="G25">
            <v>1.8</v>
          </cell>
        </row>
        <row r="26">
          <cell r="A26" t="str">
            <v>Tomato</v>
          </cell>
          <cell r="B26">
            <v>1</v>
          </cell>
          <cell r="C26">
            <v>0.82</v>
          </cell>
          <cell r="D26">
            <v>300</v>
          </cell>
          <cell r="E26">
            <v>1</v>
          </cell>
          <cell r="F26">
            <v>0.04</v>
          </cell>
          <cell r="G26">
            <v>0.25</v>
          </cell>
        </row>
        <row r="27">
          <cell r="A27" t="str">
            <v>Spinach</v>
          </cell>
          <cell r="B27">
            <v>0.8</v>
          </cell>
          <cell r="C27">
            <v>0.66</v>
          </cell>
          <cell r="D27">
            <v>200</v>
          </cell>
          <cell r="E27">
            <v>1</v>
          </cell>
          <cell r="F27">
            <v>0.03</v>
          </cell>
          <cell r="G27">
            <v>0.18</v>
          </cell>
        </row>
        <row r="28">
          <cell r="A28" t="str">
            <v>Egg</v>
          </cell>
          <cell r="B28">
            <v>0.5</v>
          </cell>
          <cell r="C28">
            <v>0.42</v>
          </cell>
          <cell r="D28">
            <v>400</v>
          </cell>
          <cell r="E28">
            <v>2</v>
          </cell>
          <cell r="F28">
            <v>0.02</v>
          </cell>
          <cell r="G28">
            <v>0.08</v>
          </cell>
        </row>
        <row r="29">
          <cell r="A29" t="str">
            <v>Rice</v>
          </cell>
          <cell r="B29">
            <v>0.3</v>
          </cell>
          <cell r="C29">
            <v>0.24</v>
          </cell>
          <cell r="D29">
            <v>500</v>
          </cell>
          <cell r="E29">
            <v>3</v>
          </cell>
          <cell r="F29">
            <v>0.01</v>
          </cell>
          <cell r="G29">
            <v>0.05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workbookViewId="0">
      <selection sqref="A1:C1"/>
    </sheetView>
  </sheetViews>
  <sheetFormatPr defaultRowHeight="14.25" x14ac:dyDescent="0.45"/>
  <cols>
    <col min="1" max="1" width="22" customWidth="1"/>
    <col min="2" max="2" width="42" customWidth="1"/>
    <col min="3" max="3" width="44" customWidth="1"/>
  </cols>
  <sheetData>
    <row r="1" spans="1:3" ht="28.05" customHeight="1" x14ac:dyDescent="0.45">
      <c r="A1" s="95" t="s">
        <v>0</v>
      </c>
      <c r="B1" s="96"/>
      <c r="C1" s="96"/>
    </row>
    <row r="3" spans="1:3" x14ac:dyDescent="0.45">
      <c r="A3" s="1" t="s">
        <v>1</v>
      </c>
      <c r="B3" s="2" t="s">
        <v>2</v>
      </c>
      <c r="C3" s="3" t="s">
        <v>3</v>
      </c>
    </row>
    <row r="4" spans="1:3" ht="22.05" customHeight="1" x14ac:dyDescent="0.45">
      <c r="A4" s="4" t="s">
        <v>4</v>
      </c>
      <c r="B4" s="5" t="s">
        <v>5</v>
      </c>
      <c r="C4" s="6" t="s">
        <v>6</v>
      </c>
    </row>
    <row r="5" spans="1:3" ht="22.05" customHeight="1" x14ac:dyDescent="0.45">
      <c r="A5" s="7" t="s">
        <v>7</v>
      </c>
      <c r="B5" s="8" t="s">
        <v>8</v>
      </c>
      <c r="C5" s="9" t="s">
        <v>9</v>
      </c>
    </row>
    <row r="6" spans="1:3" ht="22.05" customHeight="1" x14ac:dyDescent="0.45">
      <c r="A6" s="4" t="s">
        <v>10</v>
      </c>
      <c r="B6" s="5" t="s">
        <v>11</v>
      </c>
      <c r="C6" s="6" t="s">
        <v>12</v>
      </c>
    </row>
    <row r="7" spans="1:3" ht="22.05" customHeight="1" x14ac:dyDescent="0.45">
      <c r="A7" s="7" t="s">
        <v>13</v>
      </c>
      <c r="B7" s="8" t="s">
        <v>14</v>
      </c>
      <c r="C7" s="9" t="s">
        <v>15</v>
      </c>
    </row>
    <row r="8" spans="1:3" ht="22.05" customHeight="1" x14ac:dyDescent="0.45">
      <c r="A8" s="10" t="s">
        <v>16</v>
      </c>
      <c r="B8" s="11" t="s">
        <v>17</v>
      </c>
      <c r="C8" s="12" t="s">
        <v>18</v>
      </c>
    </row>
    <row r="10" spans="1:3" ht="72" customHeight="1" x14ac:dyDescent="0.45">
      <c r="A10" s="97" t="s">
        <v>19</v>
      </c>
      <c r="B10" s="96"/>
      <c r="C10" s="96"/>
    </row>
  </sheetData>
  <mergeCells count="2">
    <mergeCell ref="A1:C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showGridLines="0" workbookViewId="0">
      <selection sqref="A1:K1"/>
    </sheetView>
  </sheetViews>
  <sheetFormatPr defaultRowHeight="14.25" x14ac:dyDescent="0.45"/>
  <cols>
    <col min="1" max="1" width="22" customWidth="1"/>
    <col min="2" max="2" width="16" customWidth="1"/>
    <col min="3" max="3" width="6" customWidth="1"/>
    <col min="4" max="4" width="7" customWidth="1"/>
    <col min="5" max="6" width="8" customWidth="1"/>
    <col min="7" max="7" width="10" customWidth="1"/>
    <col min="8" max="8" width="12" customWidth="1"/>
    <col min="9" max="9" width="18" customWidth="1"/>
    <col min="10" max="10" width="20" customWidth="1"/>
    <col min="11" max="11" width="12" customWidth="1"/>
  </cols>
  <sheetData>
    <row r="1" spans="1:11" ht="26" customHeight="1" x14ac:dyDescent="0.45">
      <c r="A1" s="99" t="s">
        <v>20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x14ac:dyDescent="0.45">
      <c r="A2" s="98" t="s">
        <v>21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4" spans="1:11" ht="30" customHeight="1" x14ac:dyDescent="0.45">
      <c r="A4" s="13" t="s">
        <v>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30</v>
      </c>
      <c r="K4" s="15" t="s">
        <v>31</v>
      </c>
    </row>
    <row r="5" spans="1:11" x14ac:dyDescent="0.45">
      <c r="A5" s="4" t="s">
        <v>4</v>
      </c>
      <c r="B5" s="5" t="s">
        <v>32</v>
      </c>
      <c r="C5" s="16">
        <v>2</v>
      </c>
      <c r="D5" s="16">
        <v>120</v>
      </c>
      <c r="E5" s="16">
        <v>170</v>
      </c>
      <c r="F5" s="16" t="s">
        <v>33</v>
      </c>
      <c r="G5" s="17">
        <v>0.5</v>
      </c>
      <c r="H5" s="16">
        <v>1.67</v>
      </c>
      <c r="I5" s="18" t="s">
        <v>34</v>
      </c>
      <c r="J5" s="18" t="s">
        <v>35</v>
      </c>
      <c r="K5" s="19" t="s">
        <v>36</v>
      </c>
    </row>
    <row r="6" spans="1:11" x14ac:dyDescent="0.45">
      <c r="A6" s="20"/>
      <c r="B6" s="8" t="s">
        <v>37</v>
      </c>
      <c r="C6" s="21">
        <v>1</v>
      </c>
      <c r="D6" s="21">
        <v>85</v>
      </c>
      <c r="E6" s="21">
        <v>100</v>
      </c>
      <c r="F6" s="21" t="s">
        <v>38</v>
      </c>
      <c r="G6" s="22">
        <v>0.15</v>
      </c>
      <c r="H6" s="21">
        <v>3</v>
      </c>
      <c r="I6" s="18" t="s">
        <v>39</v>
      </c>
      <c r="J6" s="23" t="s">
        <v>40</v>
      </c>
      <c r="K6" s="19" t="s">
        <v>36</v>
      </c>
    </row>
    <row r="7" spans="1:11" x14ac:dyDescent="0.45">
      <c r="A7" s="24"/>
      <c r="B7" s="5" t="s">
        <v>41</v>
      </c>
      <c r="C7" s="16">
        <v>2</v>
      </c>
      <c r="D7" s="16">
        <v>140</v>
      </c>
      <c r="E7" s="16">
        <v>170</v>
      </c>
      <c r="F7" s="16" t="s">
        <v>42</v>
      </c>
      <c r="G7" s="17">
        <v>0.06</v>
      </c>
      <c r="H7" s="16">
        <v>1.5</v>
      </c>
      <c r="I7" s="18" t="s">
        <v>43</v>
      </c>
      <c r="J7" s="18" t="s">
        <v>44</v>
      </c>
      <c r="K7" s="19" t="s">
        <v>36</v>
      </c>
    </row>
    <row r="8" spans="1:11" x14ac:dyDescent="0.45">
      <c r="A8" s="20"/>
      <c r="B8" s="8" t="s">
        <v>45</v>
      </c>
      <c r="C8" s="21">
        <v>1</v>
      </c>
      <c r="D8" s="21">
        <v>160</v>
      </c>
      <c r="E8" s="21">
        <v>180</v>
      </c>
      <c r="F8" s="21" t="s">
        <v>46</v>
      </c>
      <c r="G8" s="22">
        <v>0.06</v>
      </c>
      <c r="H8" s="21">
        <v>2</v>
      </c>
      <c r="I8" s="18" t="s">
        <v>47</v>
      </c>
      <c r="J8" s="23" t="s">
        <v>40</v>
      </c>
      <c r="K8" s="19" t="s">
        <v>36</v>
      </c>
    </row>
    <row r="9" spans="1:11" x14ac:dyDescent="0.45">
      <c r="A9" s="4" t="s">
        <v>7</v>
      </c>
      <c r="B9" s="5" t="s">
        <v>32</v>
      </c>
      <c r="C9" s="16">
        <v>1</v>
      </c>
      <c r="D9" s="16">
        <v>200</v>
      </c>
      <c r="E9" s="16">
        <v>25</v>
      </c>
      <c r="F9" s="16" t="s">
        <v>48</v>
      </c>
      <c r="G9" s="17">
        <v>0.5</v>
      </c>
      <c r="H9" s="16">
        <v>2.5</v>
      </c>
      <c r="I9" s="25" t="s">
        <v>49</v>
      </c>
      <c r="J9" s="23" t="s">
        <v>40</v>
      </c>
      <c r="K9" s="19" t="s">
        <v>36</v>
      </c>
    </row>
    <row r="10" spans="1:11" x14ac:dyDescent="0.45">
      <c r="A10" s="20"/>
      <c r="B10" s="8" t="s">
        <v>37</v>
      </c>
      <c r="C10" s="21">
        <v>1</v>
      </c>
      <c r="D10" s="21">
        <v>200</v>
      </c>
      <c r="E10" s="21">
        <v>40</v>
      </c>
      <c r="F10" s="21" t="s">
        <v>50</v>
      </c>
      <c r="G10" s="22">
        <v>0.15</v>
      </c>
      <c r="H10" s="21">
        <v>3</v>
      </c>
      <c r="I10" s="25" t="s">
        <v>49</v>
      </c>
      <c r="J10" s="23" t="s">
        <v>40</v>
      </c>
      <c r="K10" s="19" t="s">
        <v>36</v>
      </c>
    </row>
    <row r="11" spans="1:11" x14ac:dyDescent="0.45">
      <c r="A11" s="24"/>
      <c r="B11" s="5" t="s">
        <v>41</v>
      </c>
      <c r="C11" s="16">
        <v>1</v>
      </c>
      <c r="D11" s="16">
        <v>200</v>
      </c>
      <c r="E11" s="16">
        <v>40</v>
      </c>
      <c r="F11" s="16" t="s">
        <v>50</v>
      </c>
      <c r="G11" s="17">
        <v>0.06</v>
      </c>
      <c r="H11" s="16">
        <v>3</v>
      </c>
      <c r="I11" s="25" t="s">
        <v>49</v>
      </c>
      <c r="J11" s="23" t="s">
        <v>40</v>
      </c>
      <c r="K11" s="19" t="s">
        <v>36</v>
      </c>
    </row>
    <row r="12" spans="1:11" x14ac:dyDescent="0.45">
      <c r="A12" s="20"/>
      <c r="B12" s="8" t="s">
        <v>45</v>
      </c>
      <c r="C12" s="21">
        <v>1</v>
      </c>
      <c r="D12" s="21">
        <v>200</v>
      </c>
      <c r="E12" s="21">
        <v>70</v>
      </c>
      <c r="F12" s="21" t="s">
        <v>51</v>
      </c>
      <c r="G12" s="22">
        <v>0.06</v>
      </c>
      <c r="H12" s="21">
        <v>2</v>
      </c>
      <c r="I12" s="25" t="s">
        <v>49</v>
      </c>
      <c r="J12" s="23" t="s">
        <v>40</v>
      </c>
      <c r="K12" s="19" t="s">
        <v>36</v>
      </c>
    </row>
    <row r="13" spans="1:11" x14ac:dyDescent="0.45">
      <c r="A13" s="4" t="s">
        <v>10</v>
      </c>
      <c r="B13" s="5" t="s">
        <v>32</v>
      </c>
      <c r="C13" s="16">
        <v>3</v>
      </c>
      <c r="D13" s="16">
        <v>100</v>
      </c>
      <c r="E13" s="16">
        <v>195</v>
      </c>
      <c r="F13" s="16" t="s">
        <v>52</v>
      </c>
      <c r="G13" s="17">
        <v>1.5</v>
      </c>
      <c r="H13" s="16">
        <v>2.5</v>
      </c>
      <c r="I13" s="18" t="s">
        <v>53</v>
      </c>
      <c r="J13" s="18" t="s">
        <v>54</v>
      </c>
      <c r="K13" s="19" t="s">
        <v>36</v>
      </c>
    </row>
    <row r="14" spans="1:11" x14ac:dyDescent="0.45">
      <c r="A14" s="20"/>
      <c r="B14" s="8" t="s">
        <v>37</v>
      </c>
      <c r="C14" s="21">
        <v>2</v>
      </c>
      <c r="D14" s="21">
        <v>100</v>
      </c>
      <c r="E14" s="21">
        <v>140</v>
      </c>
      <c r="F14" s="21" t="s">
        <v>33</v>
      </c>
      <c r="G14" s="22">
        <v>0.3</v>
      </c>
      <c r="H14" s="21">
        <v>1.5</v>
      </c>
      <c r="I14" s="18" t="s">
        <v>34</v>
      </c>
      <c r="J14" s="18" t="s">
        <v>44</v>
      </c>
      <c r="K14" s="19" t="s">
        <v>36</v>
      </c>
    </row>
    <row r="15" spans="1:11" x14ac:dyDescent="0.45">
      <c r="A15" s="24"/>
      <c r="B15" s="5" t="s">
        <v>41</v>
      </c>
      <c r="C15" s="16">
        <v>3</v>
      </c>
      <c r="D15" s="16">
        <v>150</v>
      </c>
      <c r="E15" s="16">
        <v>260</v>
      </c>
      <c r="F15" s="16" t="s">
        <v>55</v>
      </c>
      <c r="G15" s="17">
        <v>0.15</v>
      </c>
      <c r="H15" s="16">
        <v>1.88</v>
      </c>
      <c r="I15" s="18" t="s">
        <v>56</v>
      </c>
      <c r="J15" s="18" t="s">
        <v>57</v>
      </c>
      <c r="K15" s="19" t="s">
        <v>36</v>
      </c>
    </row>
    <row r="16" spans="1:11" x14ac:dyDescent="0.45">
      <c r="A16" s="20"/>
      <c r="B16" s="8" t="s">
        <v>45</v>
      </c>
      <c r="C16" s="21">
        <v>2</v>
      </c>
      <c r="D16" s="21">
        <v>100</v>
      </c>
      <c r="E16" s="21">
        <v>180</v>
      </c>
      <c r="F16" s="21" t="s">
        <v>58</v>
      </c>
      <c r="G16" s="22">
        <v>0.25</v>
      </c>
      <c r="H16" s="21">
        <v>1.56</v>
      </c>
      <c r="I16" s="18" t="s">
        <v>59</v>
      </c>
      <c r="J16" s="18" t="s">
        <v>60</v>
      </c>
      <c r="K16" s="19" t="s">
        <v>36</v>
      </c>
    </row>
    <row r="17" spans="1:11" x14ac:dyDescent="0.45">
      <c r="A17" s="4" t="s">
        <v>13</v>
      </c>
      <c r="B17" s="5" t="s">
        <v>32</v>
      </c>
      <c r="C17" s="16">
        <v>2</v>
      </c>
      <c r="D17" s="16">
        <v>100</v>
      </c>
      <c r="E17" s="16">
        <v>120</v>
      </c>
      <c r="F17" s="16" t="s">
        <v>61</v>
      </c>
      <c r="G17" s="17">
        <v>0.5</v>
      </c>
      <c r="H17" s="16">
        <v>1.67</v>
      </c>
      <c r="I17" s="18" t="s">
        <v>62</v>
      </c>
      <c r="J17" s="18" t="s">
        <v>35</v>
      </c>
      <c r="K17" s="19" t="s">
        <v>36</v>
      </c>
    </row>
    <row r="18" spans="1:11" x14ac:dyDescent="0.45">
      <c r="A18" s="20"/>
      <c r="B18" s="8" t="s">
        <v>37</v>
      </c>
      <c r="C18" s="21">
        <v>1</v>
      </c>
      <c r="D18" s="21">
        <v>60</v>
      </c>
      <c r="E18" s="21">
        <v>70</v>
      </c>
      <c r="F18" s="21" t="s">
        <v>63</v>
      </c>
      <c r="G18" s="22">
        <v>0.15</v>
      </c>
      <c r="H18" s="21">
        <v>3</v>
      </c>
      <c r="I18" s="18" t="s">
        <v>64</v>
      </c>
      <c r="J18" s="23" t="s">
        <v>40</v>
      </c>
      <c r="K18" s="19" t="s">
        <v>36</v>
      </c>
    </row>
    <row r="19" spans="1:11" x14ac:dyDescent="0.45">
      <c r="A19" s="24"/>
      <c r="B19" s="5" t="s">
        <v>41</v>
      </c>
      <c r="C19" s="16">
        <v>2</v>
      </c>
      <c r="D19" s="16">
        <v>120</v>
      </c>
      <c r="E19" s="16">
        <v>140</v>
      </c>
      <c r="F19" s="16" t="s">
        <v>63</v>
      </c>
      <c r="G19" s="17">
        <v>0.06</v>
      </c>
      <c r="H19" s="16">
        <v>1.5</v>
      </c>
      <c r="I19" s="18" t="s">
        <v>64</v>
      </c>
      <c r="J19" s="18" t="s">
        <v>44</v>
      </c>
      <c r="K19" s="19" t="s">
        <v>36</v>
      </c>
    </row>
    <row r="20" spans="1:11" x14ac:dyDescent="0.45">
      <c r="A20" s="20"/>
      <c r="B20" s="8" t="s">
        <v>45</v>
      </c>
      <c r="C20" s="21">
        <v>1</v>
      </c>
      <c r="D20" s="21">
        <v>90</v>
      </c>
      <c r="E20" s="21">
        <v>100</v>
      </c>
      <c r="F20" s="21" t="s">
        <v>65</v>
      </c>
      <c r="G20" s="22">
        <v>0.06</v>
      </c>
      <c r="H20" s="21">
        <v>2</v>
      </c>
      <c r="I20" s="18" t="s">
        <v>66</v>
      </c>
      <c r="J20" s="23" t="s">
        <v>40</v>
      </c>
      <c r="K20" s="19" t="s">
        <v>36</v>
      </c>
    </row>
    <row r="21" spans="1:11" x14ac:dyDescent="0.45">
      <c r="A21" s="4" t="s">
        <v>16</v>
      </c>
      <c r="B21" s="5" t="s">
        <v>67</v>
      </c>
      <c r="C21" s="16">
        <v>2</v>
      </c>
      <c r="D21" s="16">
        <v>200</v>
      </c>
      <c r="E21" s="16">
        <v>485</v>
      </c>
      <c r="F21" s="16" t="s">
        <v>68</v>
      </c>
      <c r="G21" s="17">
        <v>0.65</v>
      </c>
      <c r="H21" s="16">
        <v>1.62</v>
      </c>
      <c r="I21" s="18" t="s">
        <v>69</v>
      </c>
      <c r="J21" s="18" t="s">
        <v>70</v>
      </c>
      <c r="K21" s="19" t="s">
        <v>36</v>
      </c>
    </row>
    <row r="22" spans="1:11" x14ac:dyDescent="0.45">
      <c r="A22" s="20"/>
      <c r="B22" s="8" t="s">
        <v>71</v>
      </c>
      <c r="C22" s="21">
        <v>2</v>
      </c>
      <c r="D22" s="21">
        <v>150</v>
      </c>
      <c r="E22" s="21">
        <v>340</v>
      </c>
      <c r="F22" s="21" t="s">
        <v>72</v>
      </c>
      <c r="G22" s="22">
        <v>0.9</v>
      </c>
      <c r="H22" s="21">
        <v>1.8</v>
      </c>
      <c r="I22" s="18" t="s">
        <v>73</v>
      </c>
      <c r="J22" s="18" t="s">
        <v>74</v>
      </c>
      <c r="K22" s="19" t="s">
        <v>36</v>
      </c>
    </row>
    <row r="23" spans="1:11" x14ac:dyDescent="0.45">
      <c r="A23" s="24"/>
      <c r="B23" s="5" t="s">
        <v>37</v>
      </c>
      <c r="C23" s="16">
        <v>1</v>
      </c>
      <c r="D23" s="16">
        <v>300</v>
      </c>
      <c r="E23" s="16">
        <v>365</v>
      </c>
      <c r="F23" s="16" t="s">
        <v>42</v>
      </c>
      <c r="G23" s="17">
        <v>0.18</v>
      </c>
      <c r="H23" s="16">
        <v>4.5</v>
      </c>
      <c r="I23" s="18" t="s">
        <v>43</v>
      </c>
      <c r="J23" s="23" t="s">
        <v>40</v>
      </c>
      <c r="K23" s="19" t="s">
        <v>36</v>
      </c>
    </row>
    <row r="24" spans="1:11" x14ac:dyDescent="0.45">
      <c r="A24" s="20"/>
      <c r="B24" s="8" t="s">
        <v>45</v>
      </c>
      <c r="C24" s="21">
        <v>1</v>
      </c>
      <c r="D24" s="21">
        <v>280</v>
      </c>
      <c r="E24" s="21">
        <v>345</v>
      </c>
      <c r="F24" s="21" t="s">
        <v>75</v>
      </c>
      <c r="G24" s="22">
        <v>0.14000000000000001</v>
      </c>
      <c r="H24" s="21">
        <v>4.67</v>
      </c>
      <c r="I24" s="18" t="s">
        <v>76</v>
      </c>
      <c r="J24" s="23" t="s">
        <v>40</v>
      </c>
      <c r="K24" s="19" t="s">
        <v>36</v>
      </c>
    </row>
    <row r="25" spans="1:11" x14ac:dyDescent="0.45">
      <c r="A25" s="24"/>
      <c r="B25" s="5" t="s">
        <v>41</v>
      </c>
      <c r="C25" s="16">
        <v>2</v>
      </c>
      <c r="D25" s="16">
        <v>400</v>
      </c>
      <c r="E25" s="16">
        <v>550</v>
      </c>
      <c r="F25" s="16" t="s">
        <v>77</v>
      </c>
      <c r="G25" s="17">
        <v>0.08</v>
      </c>
      <c r="H25" s="16">
        <v>1.6</v>
      </c>
      <c r="I25" s="18" t="s">
        <v>78</v>
      </c>
      <c r="J25" s="18" t="s">
        <v>79</v>
      </c>
      <c r="K25" s="19" t="s">
        <v>36</v>
      </c>
    </row>
    <row r="26" spans="1:11" x14ac:dyDescent="0.45">
      <c r="A26" s="26"/>
      <c r="B26" s="27" t="s">
        <v>80</v>
      </c>
      <c r="C26" s="28">
        <v>3</v>
      </c>
      <c r="D26" s="28">
        <v>500</v>
      </c>
      <c r="E26" s="28">
        <v>765</v>
      </c>
      <c r="F26" s="28" t="s">
        <v>81</v>
      </c>
      <c r="G26" s="29">
        <v>0.06</v>
      </c>
      <c r="H26" s="28">
        <v>2</v>
      </c>
      <c r="I26" s="30" t="s">
        <v>82</v>
      </c>
      <c r="J26" s="30" t="s">
        <v>83</v>
      </c>
      <c r="K26" s="31" t="s">
        <v>36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showGridLines="0" workbookViewId="0">
      <selection sqref="A1:N1"/>
    </sheetView>
  </sheetViews>
  <sheetFormatPr defaultRowHeight="14.25" x14ac:dyDescent="0.45"/>
  <cols>
    <col min="1" max="1" width="22" customWidth="1"/>
    <col min="2" max="11" width="13" customWidth="1"/>
    <col min="12" max="12" width="10" customWidth="1"/>
    <col min="13" max="13" width="13" customWidth="1"/>
  </cols>
  <sheetData>
    <row r="1" spans="1:14" ht="26" customHeight="1" x14ac:dyDescent="0.45">
      <c r="A1" s="99" t="s">
        <v>84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45">
      <c r="A2" s="100" t="s">
        <v>85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4" spans="1:14" x14ac:dyDescent="0.45">
      <c r="A4" s="32" t="s">
        <v>86</v>
      </c>
    </row>
    <row r="5" spans="1:14" x14ac:dyDescent="0.45">
      <c r="A5" s="1" t="s">
        <v>87</v>
      </c>
      <c r="B5" s="2" t="s">
        <v>88</v>
      </c>
      <c r="C5" s="2" t="s">
        <v>89</v>
      </c>
      <c r="D5" s="2" t="s">
        <v>90</v>
      </c>
      <c r="E5" s="3" t="s">
        <v>91</v>
      </c>
    </row>
    <row r="6" spans="1:14" x14ac:dyDescent="0.45">
      <c r="A6" s="24" t="s">
        <v>92</v>
      </c>
      <c r="B6" s="16">
        <v>80</v>
      </c>
      <c r="C6" s="16">
        <v>90</v>
      </c>
      <c r="D6" s="16">
        <v>70</v>
      </c>
      <c r="E6" s="33">
        <v>100</v>
      </c>
    </row>
    <row r="7" spans="1:14" x14ac:dyDescent="0.45">
      <c r="A7" s="20" t="s">
        <v>93</v>
      </c>
      <c r="B7" s="21">
        <v>60</v>
      </c>
      <c r="C7" s="21">
        <v>80</v>
      </c>
      <c r="D7" s="21">
        <v>90</v>
      </c>
      <c r="E7" s="34">
        <v>70</v>
      </c>
    </row>
    <row r="8" spans="1:14" x14ac:dyDescent="0.45">
      <c r="A8" s="35" t="s">
        <v>94</v>
      </c>
      <c r="B8" s="36">
        <v>50</v>
      </c>
      <c r="C8" s="36">
        <v>60</v>
      </c>
      <c r="D8" s="36">
        <v>80</v>
      </c>
      <c r="E8" s="37">
        <v>90</v>
      </c>
    </row>
    <row r="10" spans="1:14" x14ac:dyDescent="0.45">
      <c r="A10" s="32" t="s">
        <v>95</v>
      </c>
    </row>
    <row r="11" spans="1:14" x14ac:dyDescent="0.45">
      <c r="A11" s="1" t="s">
        <v>96</v>
      </c>
      <c r="B11" s="14" t="s">
        <v>32</v>
      </c>
      <c r="C11" s="14" t="s">
        <v>37</v>
      </c>
      <c r="D11" s="14" t="s">
        <v>41</v>
      </c>
      <c r="E11" s="15" t="s">
        <v>45</v>
      </c>
    </row>
    <row r="12" spans="1:14" x14ac:dyDescent="0.45">
      <c r="A12" s="24" t="s">
        <v>92</v>
      </c>
      <c r="B12" s="16">
        <v>0</v>
      </c>
      <c r="C12" s="16">
        <v>1</v>
      </c>
      <c r="D12" s="16">
        <v>1</v>
      </c>
      <c r="E12" s="33">
        <v>0</v>
      </c>
    </row>
    <row r="13" spans="1:14" x14ac:dyDescent="0.45">
      <c r="A13" s="20" t="s">
        <v>93</v>
      </c>
      <c r="B13" s="21">
        <v>0</v>
      </c>
      <c r="C13" s="21">
        <v>0</v>
      </c>
      <c r="D13" s="21">
        <v>0</v>
      </c>
      <c r="E13" s="34">
        <v>2</v>
      </c>
    </row>
    <row r="14" spans="1:14" x14ac:dyDescent="0.45">
      <c r="A14" s="35" t="s">
        <v>94</v>
      </c>
      <c r="B14" s="36">
        <v>1</v>
      </c>
      <c r="C14" s="36">
        <v>0</v>
      </c>
      <c r="D14" s="36">
        <v>0</v>
      </c>
      <c r="E14" s="37">
        <v>0</v>
      </c>
    </row>
    <row r="16" spans="1:14" x14ac:dyDescent="0.45">
      <c r="A16" s="32" t="s">
        <v>97</v>
      </c>
    </row>
    <row r="17" spans="1:14" x14ac:dyDescent="0.45">
      <c r="A17" s="1" t="s">
        <v>22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98</v>
      </c>
      <c r="G17" s="3" t="s">
        <v>99</v>
      </c>
    </row>
    <row r="18" spans="1:14" x14ac:dyDescent="0.45">
      <c r="A18" s="24" t="s">
        <v>32</v>
      </c>
      <c r="B18" s="16">
        <v>50</v>
      </c>
      <c r="C18" s="16">
        <v>60</v>
      </c>
      <c r="D18" s="16">
        <v>80</v>
      </c>
      <c r="E18" s="16">
        <v>90</v>
      </c>
      <c r="F18" s="38">
        <v>280</v>
      </c>
      <c r="G18" s="39">
        <v>90</v>
      </c>
    </row>
    <row r="19" spans="1:14" x14ac:dyDescent="0.45">
      <c r="A19" s="20" t="s">
        <v>37</v>
      </c>
      <c r="B19" s="21">
        <v>80</v>
      </c>
      <c r="C19" s="21">
        <v>90</v>
      </c>
      <c r="D19" s="21">
        <v>70</v>
      </c>
      <c r="E19" s="21">
        <v>100</v>
      </c>
      <c r="F19" s="40">
        <v>340</v>
      </c>
      <c r="G19" s="41">
        <v>100</v>
      </c>
    </row>
    <row r="20" spans="1:14" x14ac:dyDescent="0.45">
      <c r="A20" s="24" t="s">
        <v>41</v>
      </c>
      <c r="B20" s="16">
        <v>80</v>
      </c>
      <c r="C20" s="16">
        <v>90</v>
      </c>
      <c r="D20" s="16">
        <v>70</v>
      </c>
      <c r="E20" s="16">
        <v>100</v>
      </c>
      <c r="F20" s="38">
        <v>340</v>
      </c>
      <c r="G20" s="39">
        <v>100</v>
      </c>
    </row>
    <row r="21" spans="1:14" x14ac:dyDescent="0.45">
      <c r="A21" s="26" t="s">
        <v>45</v>
      </c>
      <c r="B21" s="28">
        <v>120</v>
      </c>
      <c r="C21" s="28">
        <v>160</v>
      </c>
      <c r="D21" s="28">
        <v>180</v>
      </c>
      <c r="E21" s="28">
        <v>140</v>
      </c>
      <c r="F21" s="42">
        <v>600</v>
      </c>
      <c r="G21" s="43">
        <v>180</v>
      </c>
    </row>
    <row r="23" spans="1:14" x14ac:dyDescent="0.45">
      <c r="A23" s="32" t="s">
        <v>100</v>
      </c>
    </row>
    <row r="24" spans="1:14" ht="30" customHeight="1" x14ac:dyDescent="0.45">
      <c r="A24" s="13" t="s">
        <v>22</v>
      </c>
      <c r="B24" s="14" t="s">
        <v>101</v>
      </c>
      <c r="C24" s="14" t="s">
        <v>102</v>
      </c>
      <c r="D24" s="14" t="s">
        <v>103</v>
      </c>
      <c r="E24" s="14" t="s">
        <v>104</v>
      </c>
      <c r="F24" s="14" t="s">
        <v>105</v>
      </c>
      <c r="G24" s="14" t="s">
        <v>106</v>
      </c>
      <c r="H24" s="14" t="s">
        <v>107</v>
      </c>
      <c r="I24" s="14" t="s">
        <v>25</v>
      </c>
      <c r="J24" s="14" t="s">
        <v>26</v>
      </c>
      <c r="K24" s="14" t="s">
        <v>108</v>
      </c>
      <c r="L24" s="15" t="s">
        <v>109</v>
      </c>
    </row>
    <row r="25" spans="1:14" x14ac:dyDescent="0.45">
      <c r="A25" s="24" t="s">
        <v>32</v>
      </c>
      <c r="B25" s="44">
        <v>5</v>
      </c>
      <c r="C25" s="44">
        <v>4.5</v>
      </c>
      <c r="D25" s="16">
        <v>120</v>
      </c>
      <c r="E25" s="16">
        <v>2</v>
      </c>
      <c r="F25" s="17">
        <v>0.3</v>
      </c>
      <c r="G25" s="44">
        <v>1</v>
      </c>
      <c r="H25" s="45" t="s">
        <v>110</v>
      </c>
      <c r="I25" s="16">
        <v>170</v>
      </c>
      <c r="J25" s="18" t="s">
        <v>33</v>
      </c>
      <c r="K25" s="46">
        <v>1.67</v>
      </c>
      <c r="L25" s="47" t="s">
        <v>111</v>
      </c>
    </row>
    <row r="26" spans="1:14" x14ac:dyDescent="0.45">
      <c r="A26" s="20" t="s">
        <v>37</v>
      </c>
      <c r="B26" s="48">
        <v>1</v>
      </c>
      <c r="C26" s="48">
        <v>0.85</v>
      </c>
      <c r="D26" s="21">
        <v>85</v>
      </c>
      <c r="E26" s="21">
        <v>1</v>
      </c>
      <c r="F26" s="22">
        <v>0.05</v>
      </c>
      <c r="G26" s="48">
        <v>0.3</v>
      </c>
      <c r="H26" s="49" t="s">
        <v>112</v>
      </c>
      <c r="I26" s="21">
        <v>100</v>
      </c>
      <c r="J26" s="18" t="s">
        <v>38</v>
      </c>
      <c r="K26" s="50" t="s">
        <v>113</v>
      </c>
      <c r="L26" s="51" t="s">
        <v>113</v>
      </c>
    </row>
    <row r="27" spans="1:14" x14ac:dyDescent="0.45">
      <c r="A27" s="24" t="s">
        <v>41</v>
      </c>
      <c r="B27" s="44">
        <v>0.5</v>
      </c>
      <c r="C27" s="44">
        <v>0.44</v>
      </c>
      <c r="D27" s="16">
        <v>140</v>
      </c>
      <c r="E27" s="16">
        <v>2</v>
      </c>
      <c r="F27" s="17">
        <v>0.04</v>
      </c>
      <c r="G27" s="44">
        <v>0.1</v>
      </c>
      <c r="H27" s="45" t="s">
        <v>114</v>
      </c>
      <c r="I27" s="16">
        <v>170</v>
      </c>
      <c r="J27" s="18" t="s">
        <v>42</v>
      </c>
      <c r="K27" s="46">
        <v>1.5</v>
      </c>
      <c r="L27" s="47" t="s">
        <v>111</v>
      </c>
    </row>
    <row r="28" spans="1:14" x14ac:dyDescent="0.45">
      <c r="A28" s="26" t="s">
        <v>45</v>
      </c>
      <c r="B28" s="52">
        <v>0.8</v>
      </c>
      <c r="C28" s="52">
        <v>0.74</v>
      </c>
      <c r="D28" s="28">
        <v>160</v>
      </c>
      <c r="E28" s="28">
        <v>1</v>
      </c>
      <c r="F28" s="29">
        <v>0.03</v>
      </c>
      <c r="G28" s="52">
        <v>0.2</v>
      </c>
      <c r="H28" s="53" t="s">
        <v>115</v>
      </c>
      <c r="I28" s="28">
        <v>180</v>
      </c>
      <c r="J28" s="30" t="s">
        <v>46</v>
      </c>
      <c r="K28" s="54" t="s">
        <v>113</v>
      </c>
      <c r="L28" s="55" t="s">
        <v>113</v>
      </c>
    </row>
    <row r="30" spans="1:14" x14ac:dyDescent="0.45">
      <c r="A30" s="32" t="s">
        <v>116</v>
      </c>
    </row>
    <row r="31" spans="1:14" ht="98" customHeight="1" x14ac:dyDescent="0.45">
      <c r="A31" s="97" t="s">
        <v>117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</row>
  </sheetData>
  <mergeCells count="3">
    <mergeCell ref="A31:N31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showGridLines="0" topLeftCell="A7" workbookViewId="0">
      <selection sqref="A1:N1"/>
    </sheetView>
  </sheetViews>
  <sheetFormatPr defaultRowHeight="14.25" x14ac:dyDescent="0.45"/>
  <cols>
    <col min="1" max="1" width="22" customWidth="1"/>
    <col min="2" max="11" width="13" customWidth="1"/>
    <col min="12" max="12" width="10" customWidth="1"/>
    <col min="13" max="13" width="13" customWidth="1"/>
  </cols>
  <sheetData>
    <row r="1" spans="1:14" ht="26" customHeight="1" x14ac:dyDescent="0.45">
      <c r="A1" s="99" t="s">
        <v>118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45">
      <c r="A2" s="100" t="s">
        <v>119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4" spans="1:14" x14ac:dyDescent="0.45">
      <c r="A4" s="32" t="s">
        <v>86</v>
      </c>
    </row>
    <row r="5" spans="1:14" x14ac:dyDescent="0.45">
      <c r="A5" s="1" t="s">
        <v>87</v>
      </c>
      <c r="B5" s="2" t="s">
        <v>88</v>
      </c>
      <c r="C5" s="2" t="s">
        <v>89</v>
      </c>
      <c r="D5" s="2" t="s">
        <v>90</v>
      </c>
      <c r="E5" s="3" t="s">
        <v>91</v>
      </c>
    </row>
    <row r="6" spans="1:14" x14ac:dyDescent="0.45">
      <c r="A6" s="24" t="s">
        <v>92</v>
      </c>
      <c r="B6" s="16">
        <v>40</v>
      </c>
      <c r="C6" s="16">
        <v>35</v>
      </c>
      <c r="D6" s="16">
        <v>30</v>
      </c>
      <c r="E6" s="33">
        <v>40</v>
      </c>
    </row>
    <row r="7" spans="1:14" x14ac:dyDescent="0.45">
      <c r="A7" s="20" t="s">
        <v>93</v>
      </c>
      <c r="B7" s="21">
        <v>30</v>
      </c>
      <c r="C7" s="21">
        <v>25</v>
      </c>
      <c r="D7" s="21">
        <v>35</v>
      </c>
      <c r="E7" s="34">
        <v>30</v>
      </c>
    </row>
    <row r="8" spans="1:14" x14ac:dyDescent="0.45">
      <c r="A8" s="35" t="s">
        <v>94</v>
      </c>
      <c r="B8" s="36">
        <v>20</v>
      </c>
      <c r="C8" s="36">
        <v>25</v>
      </c>
      <c r="D8" s="36">
        <v>20</v>
      </c>
      <c r="E8" s="37">
        <v>25</v>
      </c>
    </row>
    <row r="10" spans="1:14" x14ac:dyDescent="0.45">
      <c r="A10" s="32" t="s">
        <v>95</v>
      </c>
    </row>
    <row r="11" spans="1:14" x14ac:dyDescent="0.45">
      <c r="A11" s="1" t="s">
        <v>96</v>
      </c>
      <c r="B11" s="14" t="s">
        <v>32</v>
      </c>
      <c r="C11" s="14" t="s">
        <v>37</v>
      </c>
      <c r="D11" s="14" t="s">
        <v>41</v>
      </c>
      <c r="E11" s="15" t="s">
        <v>45</v>
      </c>
    </row>
    <row r="12" spans="1:14" x14ac:dyDescent="0.45">
      <c r="A12" s="24" t="s">
        <v>92</v>
      </c>
      <c r="B12" s="16">
        <v>0</v>
      </c>
      <c r="C12" s="16">
        <v>1</v>
      </c>
      <c r="D12" s="16">
        <v>1</v>
      </c>
      <c r="E12" s="33">
        <v>0</v>
      </c>
    </row>
    <row r="13" spans="1:14" x14ac:dyDescent="0.45">
      <c r="A13" s="20" t="s">
        <v>93</v>
      </c>
      <c r="B13" s="21">
        <v>0</v>
      </c>
      <c r="C13" s="21">
        <v>0</v>
      </c>
      <c r="D13" s="21">
        <v>0</v>
      </c>
      <c r="E13" s="34">
        <v>2</v>
      </c>
    </row>
    <row r="14" spans="1:14" x14ac:dyDescent="0.45">
      <c r="A14" s="35" t="s">
        <v>94</v>
      </c>
      <c r="B14" s="36">
        <v>1</v>
      </c>
      <c r="C14" s="36">
        <v>0</v>
      </c>
      <c r="D14" s="36">
        <v>0</v>
      </c>
      <c r="E14" s="37">
        <v>0</v>
      </c>
    </row>
    <row r="16" spans="1:14" x14ac:dyDescent="0.45">
      <c r="A16" s="32" t="s">
        <v>97</v>
      </c>
    </row>
    <row r="17" spans="1:14" x14ac:dyDescent="0.45">
      <c r="A17" s="1" t="s">
        <v>22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98</v>
      </c>
      <c r="G17" s="3" t="s">
        <v>99</v>
      </c>
    </row>
    <row r="18" spans="1:14" x14ac:dyDescent="0.45">
      <c r="A18" s="24" t="s">
        <v>32</v>
      </c>
      <c r="B18" s="16">
        <v>20</v>
      </c>
      <c r="C18" s="16">
        <v>25</v>
      </c>
      <c r="D18" s="16">
        <v>20</v>
      </c>
      <c r="E18" s="16">
        <v>25</v>
      </c>
      <c r="F18" s="38">
        <v>90</v>
      </c>
      <c r="G18" s="39">
        <v>25</v>
      </c>
    </row>
    <row r="19" spans="1:14" x14ac:dyDescent="0.45">
      <c r="A19" s="20" t="s">
        <v>37</v>
      </c>
      <c r="B19" s="21">
        <v>40</v>
      </c>
      <c r="C19" s="21">
        <v>35</v>
      </c>
      <c r="D19" s="21">
        <v>30</v>
      </c>
      <c r="E19" s="21">
        <v>40</v>
      </c>
      <c r="F19" s="40">
        <v>145</v>
      </c>
      <c r="G19" s="41">
        <v>40</v>
      </c>
    </row>
    <row r="20" spans="1:14" x14ac:dyDescent="0.45">
      <c r="A20" s="24" t="s">
        <v>41</v>
      </c>
      <c r="B20" s="16">
        <v>40</v>
      </c>
      <c r="C20" s="16">
        <v>35</v>
      </c>
      <c r="D20" s="16">
        <v>30</v>
      </c>
      <c r="E20" s="16">
        <v>40</v>
      </c>
      <c r="F20" s="38">
        <v>145</v>
      </c>
      <c r="G20" s="39">
        <v>40</v>
      </c>
    </row>
    <row r="21" spans="1:14" x14ac:dyDescent="0.45">
      <c r="A21" s="26" t="s">
        <v>45</v>
      </c>
      <c r="B21" s="28">
        <v>60</v>
      </c>
      <c r="C21" s="28">
        <v>50</v>
      </c>
      <c r="D21" s="28">
        <v>70</v>
      </c>
      <c r="E21" s="28">
        <v>60</v>
      </c>
      <c r="F21" s="42">
        <v>240</v>
      </c>
      <c r="G21" s="43">
        <v>70</v>
      </c>
    </row>
    <row r="23" spans="1:14" x14ac:dyDescent="0.45">
      <c r="A23" s="32" t="s">
        <v>100</v>
      </c>
    </row>
    <row r="24" spans="1:14" ht="30" customHeight="1" x14ac:dyDescent="0.45">
      <c r="A24" s="13" t="s">
        <v>22</v>
      </c>
      <c r="B24" s="14" t="s">
        <v>101</v>
      </c>
      <c r="C24" s="14" t="s">
        <v>102</v>
      </c>
      <c r="D24" s="14" t="s">
        <v>103</v>
      </c>
      <c r="E24" s="14" t="s">
        <v>104</v>
      </c>
      <c r="F24" s="14" t="s">
        <v>105</v>
      </c>
      <c r="G24" s="14" t="s">
        <v>106</v>
      </c>
      <c r="H24" s="14" t="s">
        <v>107</v>
      </c>
      <c r="I24" s="14" t="s">
        <v>25</v>
      </c>
      <c r="J24" s="14" t="s">
        <v>26</v>
      </c>
      <c r="K24" s="14" t="s">
        <v>108</v>
      </c>
      <c r="L24" s="15" t="s">
        <v>109</v>
      </c>
    </row>
    <row r="25" spans="1:14" x14ac:dyDescent="0.45">
      <c r="A25" s="24" t="s">
        <v>32</v>
      </c>
      <c r="B25" s="44">
        <v>5</v>
      </c>
      <c r="C25" s="44">
        <v>4.5</v>
      </c>
      <c r="D25" s="16">
        <v>200</v>
      </c>
      <c r="E25" s="16">
        <v>1</v>
      </c>
      <c r="F25" s="17">
        <v>0.2</v>
      </c>
      <c r="G25" s="44">
        <v>2.5</v>
      </c>
      <c r="H25" s="45" t="s">
        <v>110</v>
      </c>
      <c r="I25" s="16">
        <v>25</v>
      </c>
      <c r="J25" s="25" t="s">
        <v>48</v>
      </c>
      <c r="K25" s="56" t="s">
        <v>113</v>
      </c>
      <c r="L25" s="57" t="s">
        <v>113</v>
      </c>
    </row>
    <row r="26" spans="1:14" x14ac:dyDescent="0.45">
      <c r="A26" s="20" t="s">
        <v>37</v>
      </c>
      <c r="B26" s="48">
        <v>1</v>
      </c>
      <c r="C26" s="48">
        <v>0.85</v>
      </c>
      <c r="D26" s="21">
        <v>200</v>
      </c>
      <c r="E26" s="21">
        <v>1</v>
      </c>
      <c r="F26" s="22">
        <v>0.05</v>
      </c>
      <c r="G26" s="48">
        <v>0.8</v>
      </c>
      <c r="H26" s="49" t="s">
        <v>112</v>
      </c>
      <c r="I26" s="21">
        <v>40</v>
      </c>
      <c r="J26" s="25" t="s">
        <v>50</v>
      </c>
      <c r="K26" s="50" t="s">
        <v>113</v>
      </c>
      <c r="L26" s="51" t="s">
        <v>113</v>
      </c>
    </row>
    <row r="27" spans="1:14" x14ac:dyDescent="0.45">
      <c r="A27" s="24" t="s">
        <v>41</v>
      </c>
      <c r="B27" s="44">
        <v>0.5</v>
      </c>
      <c r="C27" s="44">
        <v>0.44</v>
      </c>
      <c r="D27" s="16">
        <v>200</v>
      </c>
      <c r="E27" s="16">
        <v>1</v>
      </c>
      <c r="F27" s="17">
        <v>0.02</v>
      </c>
      <c r="G27" s="44">
        <v>0.4</v>
      </c>
      <c r="H27" s="45" t="s">
        <v>114</v>
      </c>
      <c r="I27" s="16">
        <v>40</v>
      </c>
      <c r="J27" s="25" t="s">
        <v>50</v>
      </c>
      <c r="K27" s="56" t="s">
        <v>113</v>
      </c>
      <c r="L27" s="57" t="s">
        <v>113</v>
      </c>
    </row>
    <row r="28" spans="1:14" x14ac:dyDescent="0.45">
      <c r="A28" s="26" t="s">
        <v>45</v>
      </c>
      <c r="B28" s="52">
        <v>0.8</v>
      </c>
      <c r="C28" s="52">
        <v>0.74</v>
      </c>
      <c r="D28" s="28">
        <v>200</v>
      </c>
      <c r="E28" s="28">
        <v>1</v>
      </c>
      <c r="F28" s="29">
        <v>0.03</v>
      </c>
      <c r="G28" s="52">
        <v>0.7</v>
      </c>
      <c r="H28" s="53" t="s">
        <v>115</v>
      </c>
      <c r="I28" s="28">
        <v>70</v>
      </c>
      <c r="J28" s="58" t="s">
        <v>51</v>
      </c>
      <c r="K28" s="54" t="s">
        <v>113</v>
      </c>
      <c r="L28" s="55" t="s">
        <v>113</v>
      </c>
    </row>
    <row r="30" spans="1:14" x14ac:dyDescent="0.45">
      <c r="A30" s="32" t="s">
        <v>116</v>
      </c>
    </row>
    <row r="31" spans="1:14" ht="98" customHeight="1" x14ac:dyDescent="0.45">
      <c r="A31" s="97" t="s">
        <v>120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</row>
  </sheetData>
  <mergeCells count="3">
    <mergeCell ref="A31:N31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showGridLines="0" workbookViewId="0">
      <selection sqref="A1:N1"/>
    </sheetView>
  </sheetViews>
  <sheetFormatPr defaultRowHeight="14.25" x14ac:dyDescent="0.45"/>
  <cols>
    <col min="1" max="1" width="22" customWidth="1"/>
    <col min="2" max="11" width="13" customWidth="1"/>
    <col min="12" max="12" width="10" customWidth="1"/>
    <col min="13" max="13" width="13" customWidth="1"/>
  </cols>
  <sheetData>
    <row r="1" spans="1:14" ht="26" customHeight="1" x14ac:dyDescent="0.45">
      <c r="A1" s="99" t="s">
        <v>121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45">
      <c r="A2" s="100" t="s">
        <v>122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4" spans="1:14" x14ac:dyDescent="0.45">
      <c r="A4" s="32" t="s">
        <v>86</v>
      </c>
    </row>
    <row r="5" spans="1:14" x14ac:dyDescent="0.45">
      <c r="A5" s="1" t="s">
        <v>87</v>
      </c>
      <c r="B5" s="2" t="s">
        <v>88</v>
      </c>
      <c r="C5" s="2" t="s">
        <v>89</v>
      </c>
      <c r="D5" s="2" t="s">
        <v>90</v>
      </c>
      <c r="E5" s="3" t="s">
        <v>91</v>
      </c>
    </row>
    <row r="6" spans="1:14" x14ac:dyDescent="0.45">
      <c r="A6" s="24" t="s">
        <v>92</v>
      </c>
      <c r="B6" s="16">
        <v>20</v>
      </c>
      <c r="C6" s="16">
        <v>120</v>
      </c>
      <c r="D6" s="16">
        <v>20</v>
      </c>
      <c r="E6" s="33">
        <v>120</v>
      </c>
    </row>
    <row r="7" spans="1:14" x14ac:dyDescent="0.45">
      <c r="A7" s="20" t="s">
        <v>93</v>
      </c>
      <c r="B7" s="21">
        <v>10</v>
      </c>
      <c r="C7" s="21">
        <v>80</v>
      </c>
      <c r="D7" s="21">
        <v>10</v>
      </c>
      <c r="E7" s="34">
        <v>80</v>
      </c>
    </row>
    <row r="8" spans="1:14" x14ac:dyDescent="0.45">
      <c r="A8" s="35" t="s">
        <v>94</v>
      </c>
      <c r="B8" s="36">
        <v>15</v>
      </c>
      <c r="C8" s="36">
        <v>90</v>
      </c>
      <c r="D8" s="36">
        <v>15</v>
      </c>
      <c r="E8" s="37">
        <v>90</v>
      </c>
    </row>
    <row r="10" spans="1:14" x14ac:dyDescent="0.45">
      <c r="A10" s="32" t="s">
        <v>95</v>
      </c>
    </row>
    <row r="11" spans="1:14" x14ac:dyDescent="0.45">
      <c r="A11" s="1" t="s">
        <v>96</v>
      </c>
      <c r="B11" s="14" t="s">
        <v>32</v>
      </c>
      <c r="C11" s="14" t="s">
        <v>37</v>
      </c>
      <c r="D11" s="14" t="s">
        <v>41</v>
      </c>
      <c r="E11" s="15" t="s">
        <v>45</v>
      </c>
    </row>
    <row r="12" spans="1:14" x14ac:dyDescent="0.45">
      <c r="A12" s="24" t="s">
        <v>92</v>
      </c>
      <c r="B12" s="16">
        <v>0</v>
      </c>
      <c r="C12" s="16">
        <v>1</v>
      </c>
      <c r="D12" s="16">
        <v>1</v>
      </c>
      <c r="E12" s="33">
        <v>0</v>
      </c>
    </row>
    <row r="13" spans="1:14" x14ac:dyDescent="0.45">
      <c r="A13" s="20" t="s">
        <v>93</v>
      </c>
      <c r="B13" s="21">
        <v>0</v>
      </c>
      <c r="C13" s="21">
        <v>0</v>
      </c>
      <c r="D13" s="21">
        <v>0</v>
      </c>
      <c r="E13" s="34">
        <v>2</v>
      </c>
    </row>
    <row r="14" spans="1:14" x14ac:dyDescent="0.45">
      <c r="A14" s="35" t="s">
        <v>94</v>
      </c>
      <c r="B14" s="36">
        <v>1</v>
      </c>
      <c r="C14" s="36">
        <v>0</v>
      </c>
      <c r="D14" s="36">
        <v>0</v>
      </c>
      <c r="E14" s="37">
        <v>0</v>
      </c>
    </row>
    <row r="16" spans="1:14" x14ac:dyDescent="0.45">
      <c r="A16" s="32" t="s">
        <v>97</v>
      </c>
    </row>
    <row r="17" spans="1:14" x14ac:dyDescent="0.45">
      <c r="A17" s="1" t="s">
        <v>22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98</v>
      </c>
      <c r="G17" s="3" t="s">
        <v>99</v>
      </c>
    </row>
    <row r="18" spans="1:14" x14ac:dyDescent="0.45">
      <c r="A18" s="24" t="s">
        <v>32</v>
      </c>
      <c r="B18" s="16">
        <v>15</v>
      </c>
      <c r="C18" s="16">
        <v>90</v>
      </c>
      <c r="D18" s="16">
        <v>15</v>
      </c>
      <c r="E18" s="16">
        <v>90</v>
      </c>
      <c r="F18" s="38">
        <v>210</v>
      </c>
      <c r="G18" s="39">
        <v>90</v>
      </c>
    </row>
    <row r="19" spans="1:14" x14ac:dyDescent="0.45">
      <c r="A19" s="20" t="s">
        <v>37</v>
      </c>
      <c r="B19" s="21">
        <v>20</v>
      </c>
      <c r="C19" s="21">
        <v>120</v>
      </c>
      <c r="D19" s="21">
        <v>20</v>
      </c>
      <c r="E19" s="21">
        <v>120</v>
      </c>
      <c r="F19" s="40">
        <v>280</v>
      </c>
      <c r="G19" s="41">
        <v>120</v>
      </c>
    </row>
    <row r="20" spans="1:14" x14ac:dyDescent="0.45">
      <c r="A20" s="24" t="s">
        <v>41</v>
      </c>
      <c r="B20" s="16">
        <v>20</v>
      </c>
      <c r="C20" s="16">
        <v>120</v>
      </c>
      <c r="D20" s="16">
        <v>20</v>
      </c>
      <c r="E20" s="16">
        <v>120</v>
      </c>
      <c r="F20" s="38">
        <v>280</v>
      </c>
      <c r="G20" s="39">
        <v>120</v>
      </c>
    </row>
    <row r="21" spans="1:14" x14ac:dyDescent="0.45">
      <c r="A21" s="26" t="s">
        <v>45</v>
      </c>
      <c r="B21" s="28">
        <v>20</v>
      </c>
      <c r="C21" s="28">
        <v>160</v>
      </c>
      <c r="D21" s="28">
        <v>20</v>
      </c>
      <c r="E21" s="28">
        <v>160</v>
      </c>
      <c r="F21" s="42">
        <v>360</v>
      </c>
      <c r="G21" s="43">
        <v>160</v>
      </c>
    </row>
    <row r="23" spans="1:14" x14ac:dyDescent="0.45">
      <c r="A23" s="32" t="s">
        <v>100</v>
      </c>
    </row>
    <row r="24" spans="1:14" ht="30" customHeight="1" x14ac:dyDescent="0.45">
      <c r="A24" s="13" t="s">
        <v>22</v>
      </c>
      <c r="B24" s="14" t="s">
        <v>101</v>
      </c>
      <c r="C24" s="14" t="s">
        <v>102</v>
      </c>
      <c r="D24" s="14" t="s">
        <v>103</v>
      </c>
      <c r="E24" s="14" t="s">
        <v>104</v>
      </c>
      <c r="F24" s="14" t="s">
        <v>105</v>
      </c>
      <c r="G24" s="14" t="s">
        <v>106</v>
      </c>
      <c r="H24" s="14" t="s">
        <v>107</v>
      </c>
      <c r="I24" s="14" t="s">
        <v>25</v>
      </c>
      <c r="J24" s="14" t="s">
        <v>26</v>
      </c>
      <c r="K24" s="14" t="s">
        <v>108</v>
      </c>
      <c r="L24" s="15" t="s">
        <v>109</v>
      </c>
    </row>
    <row r="25" spans="1:14" x14ac:dyDescent="0.45">
      <c r="A25" s="24" t="s">
        <v>32</v>
      </c>
      <c r="B25" s="44">
        <v>5</v>
      </c>
      <c r="C25" s="44">
        <v>3.5</v>
      </c>
      <c r="D25" s="16">
        <v>100</v>
      </c>
      <c r="E25" s="16">
        <v>3</v>
      </c>
      <c r="F25" s="17">
        <v>0.6</v>
      </c>
      <c r="G25" s="44">
        <v>0.5</v>
      </c>
      <c r="H25" s="45" t="s">
        <v>123</v>
      </c>
      <c r="I25" s="16">
        <v>195</v>
      </c>
      <c r="J25" s="18" t="s">
        <v>52</v>
      </c>
      <c r="K25" s="46">
        <v>2.5</v>
      </c>
      <c r="L25" s="47" t="s">
        <v>111</v>
      </c>
    </row>
    <row r="26" spans="1:14" x14ac:dyDescent="0.45">
      <c r="A26" s="20" t="s">
        <v>37</v>
      </c>
      <c r="B26" s="48">
        <v>1</v>
      </c>
      <c r="C26" s="48">
        <v>0.7</v>
      </c>
      <c r="D26" s="21">
        <v>100</v>
      </c>
      <c r="E26" s="21">
        <v>2</v>
      </c>
      <c r="F26" s="22">
        <v>0.2</v>
      </c>
      <c r="G26" s="48">
        <v>0.15</v>
      </c>
      <c r="H26" s="49" t="s">
        <v>123</v>
      </c>
      <c r="I26" s="21">
        <v>140</v>
      </c>
      <c r="J26" s="18" t="s">
        <v>33</v>
      </c>
      <c r="K26" s="59">
        <v>1.5</v>
      </c>
      <c r="L26" s="47" t="s">
        <v>111</v>
      </c>
    </row>
    <row r="27" spans="1:14" x14ac:dyDescent="0.45">
      <c r="A27" s="24" t="s">
        <v>41</v>
      </c>
      <c r="B27" s="44">
        <v>0.5</v>
      </c>
      <c r="C27" s="44">
        <v>0.35</v>
      </c>
      <c r="D27" s="16">
        <v>150</v>
      </c>
      <c r="E27" s="16">
        <v>3</v>
      </c>
      <c r="F27" s="17">
        <v>0.08</v>
      </c>
      <c r="G27" s="44">
        <v>0.05</v>
      </c>
      <c r="H27" s="45" t="s">
        <v>123</v>
      </c>
      <c r="I27" s="16">
        <v>260</v>
      </c>
      <c r="J27" s="18" t="s">
        <v>55</v>
      </c>
      <c r="K27" s="46">
        <v>1.88</v>
      </c>
      <c r="L27" s="47" t="s">
        <v>111</v>
      </c>
    </row>
    <row r="28" spans="1:14" x14ac:dyDescent="0.45">
      <c r="A28" s="26" t="s">
        <v>45</v>
      </c>
      <c r="B28" s="52">
        <v>0.8</v>
      </c>
      <c r="C28" s="52">
        <v>0.55000000000000004</v>
      </c>
      <c r="D28" s="28">
        <v>100</v>
      </c>
      <c r="E28" s="28">
        <v>2</v>
      </c>
      <c r="F28" s="29">
        <v>0.16</v>
      </c>
      <c r="G28" s="52">
        <v>0.1</v>
      </c>
      <c r="H28" s="53" t="s">
        <v>124</v>
      </c>
      <c r="I28" s="28">
        <v>180</v>
      </c>
      <c r="J28" s="30" t="s">
        <v>58</v>
      </c>
      <c r="K28" s="60">
        <v>1.56</v>
      </c>
      <c r="L28" s="61" t="s">
        <v>111</v>
      </c>
    </row>
    <row r="30" spans="1:14" x14ac:dyDescent="0.45">
      <c r="A30" s="32" t="s">
        <v>116</v>
      </c>
    </row>
    <row r="31" spans="1:14" ht="98" customHeight="1" x14ac:dyDescent="0.45">
      <c r="A31" s="97" t="s">
        <v>125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</row>
  </sheetData>
  <mergeCells count="3">
    <mergeCell ref="A31:N31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showGridLines="0" topLeftCell="A15" workbookViewId="0">
      <selection sqref="A1:N1"/>
    </sheetView>
  </sheetViews>
  <sheetFormatPr defaultRowHeight="14.25" x14ac:dyDescent="0.45"/>
  <cols>
    <col min="1" max="1" width="22" customWidth="1"/>
    <col min="2" max="11" width="13" customWidth="1"/>
    <col min="12" max="12" width="10" customWidth="1"/>
    <col min="13" max="13" width="13" customWidth="1"/>
  </cols>
  <sheetData>
    <row r="1" spans="1:14" ht="26" customHeight="1" x14ac:dyDescent="0.45">
      <c r="A1" s="99" t="s">
        <v>126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45">
      <c r="A2" s="100" t="s">
        <v>127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4" spans="1:14" x14ac:dyDescent="0.45">
      <c r="A4" s="32" t="s">
        <v>86</v>
      </c>
    </row>
    <row r="5" spans="1:14" x14ac:dyDescent="0.45">
      <c r="A5" s="1" t="s">
        <v>87</v>
      </c>
      <c r="B5" s="2" t="s">
        <v>88</v>
      </c>
      <c r="C5" s="2" t="s">
        <v>89</v>
      </c>
      <c r="D5" s="2" t="s">
        <v>90</v>
      </c>
      <c r="E5" s="3" t="s">
        <v>91</v>
      </c>
    </row>
    <row r="6" spans="1:14" x14ac:dyDescent="0.45">
      <c r="A6" s="24" t="s">
        <v>92</v>
      </c>
      <c r="B6" s="16">
        <v>70</v>
      </c>
      <c r="C6" s="16">
        <v>70</v>
      </c>
      <c r="D6" s="16">
        <v>70</v>
      </c>
      <c r="E6" s="33">
        <v>70</v>
      </c>
    </row>
    <row r="7" spans="1:14" x14ac:dyDescent="0.45">
      <c r="A7" s="20" t="s">
        <v>93</v>
      </c>
      <c r="B7" s="21">
        <v>50</v>
      </c>
      <c r="C7" s="21">
        <v>50</v>
      </c>
      <c r="D7" s="21">
        <v>50</v>
      </c>
      <c r="E7" s="34">
        <v>50</v>
      </c>
    </row>
    <row r="8" spans="1:14" x14ac:dyDescent="0.45">
      <c r="A8" s="35" t="s">
        <v>94</v>
      </c>
      <c r="B8" s="36">
        <v>60</v>
      </c>
      <c r="C8" s="36">
        <v>60</v>
      </c>
      <c r="D8" s="36">
        <v>60</v>
      </c>
      <c r="E8" s="37">
        <v>60</v>
      </c>
    </row>
    <row r="10" spans="1:14" x14ac:dyDescent="0.45">
      <c r="A10" s="32" t="s">
        <v>95</v>
      </c>
    </row>
    <row r="11" spans="1:14" x14ac:dyDescent="0.45">
      <c r="A11" s="1" t="s">
        <v>96</v>
      </c>
      <c r="B11" s="14" t="s">
        <v>32</v>
      </c>
      <c r="C11" s="14" t="s">
        <v>37</v>
      </c>
      <c r="D11" s="14" t="s">
        <v>41</v>
      </c>
      <c r="E11" s="15" t="s">
        <v>45</v>
      </c>
    </row>
    <row r="12" spans="1:14" x14ac:dyDescent="0.45">
      <c r="A12" s="24" t="s">
        <v>92</v>
      </c>
      <c r="B12" s="16">
        <v>0</v>
      </c>
      <c r="C12" s="16">
        <v>1</v>
      </c>
      <c r="D12" s="16">
        <v>1</v>
      </c>
      <c r="E12" s="33">
        <v>0</v>
      </c>
    </row>
    <row r="13" spans="1:14" x14ac:dyDescent="0.45">
      <c r="A13" s="20" t="s">
        <v>93</v>
      </c>
      <c r="B13" s="21">
        <v>0</v>
      </c>
      <c r="C13" s="21">
        <v>0</v>
      </c>
      <c r="D13" s="21">
        <v>0</v>
      </c>
      <c r="E13" s="34">
        <v>2</v>
      </c>
    </row>
    <row r="14" spans="1:14" x14ac:dyDescent="0.45">
      <c r="A14" s="35" t="s">
        <v>94</v>
      </c>
      <c r="B14" s="36">
        <v>1</v>
      </c>
      <c r="C14" s="36">
        <v>0</v>
      </c>
      <c r="D14" s="36">
        <v>0</v>
      </c>
      <c r="E14" s="37">
        <v>0</v>
      </c>
    </row>
    <row r="16" spans="1:14" x14ac:dyDescent="0.45">
      <c r="A16" s="32" t="s">
        <v>97</v>
      </c>
    </row>
    <row r="17" spans="1:14" x14ac:dyDescent="0.45">
      <c r="A17" s="1" t="s">
        <v>22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98</v>
      </c>
      <c r="G17" s="3" t="s">
        <v>99</v>
      </c>
    </row>
    <row r="18" spans="1:14" x14ac:dyDescent="0.45">
      <c r="A18" s="24" t="s">
        <v>32</v>
      </c>
      <c r="B18" s="16">
        <v>60</v>
      </c>
      <c r="C18" s="16">
        <v>60</v>
      </c>
      <c r="D18" s="16">
        <v>60</v>
      </c>
      <c r="E18" s="16">
        <v>60</v>
      </c>
      <c r="F18" s="38">
        <v>240</v>
      </c>
      <c r="G18" s="39">
        <v>60</v>
      </c>
    </row>
    <row r="19" spans="1:14" x14ac:dyDescent="0.45">
      <c r="A19" s="20" t="s">
        <v>37</v>
      </c>
      <c r="B19" s="21">
        <v>70</v>
      </c>
      <c r="C19" s="21">
        <v>70</v>
      </c>
      <c r="D19" s="21">
        <v>70</v>
      </c>
      <c r="E19" s="21">
        <v>70</v>
      </c>
      <c r="F19" s="40">
        <v>280</v>
      </c>
      <c r="G19" s="41">
        <v>70</v>
      </c>
    </row>
    <row r="20" spans="1:14" x14ac:dyDescent="0.45">
      <c r="A20" s="24" t="s">
        <v>41</v>
      </c>
      <c r="B20" s="16">
        <v>70</v>
      </c>
      <c r="C20" s="16">
        <v>70</v>
      </c>
      <c r="D20" s="16">
        <v>70</v>
      </c>
      <c r="E20" s="16">
        <v>70</v>
      </c>
      <c r="F20" s="38">
        <v>280</v>
      </c>
      <c r="G20" s="39">
        <v>70</v>
      </c>
    </row>
    <row r="21" spans="1:14" x14ac:dyDescent="0.45">
      <c r="A21" s="26" t="s">
        <v>45</v>
      </c>
      <c r="B21" s="28">
        <v>100</v>
      </c>
      <c r="C21" s="28">
        <v>100</v>
      </c>
      <c r="D21" s="28">
        <v>100</v>
      </c>
      <c r="E21" s="28">
        <v>100</v>
      </c>
      <c r="F21" s="42">
        <v>400</v>
      </c>
      <c r="G21" s="43">
        <v>100</v>
      </c>
    </row>
    <row r="23" spans="1:14" x14ac:dyDescent="0.45">
      <c r="A23" s="32" t="s">
        <v>100</v>
      </c>
    </row>
    <row r="24" spans="1:14" ht="30" customHeight="1" x14ac:dyDescent="0.45">
      <c r="A24" s="13" t="s">
        <v>22</v>
      </c>
      <c r="B24" s="14" t="s">
        <v>101</v>
      </c>
      <c r="C24" s="14" t="s">
        <v>102</v>
      </c>
      <c r="D24" s="14" t="s">
        <v>103</v>
      </c>
      <c r="E24" s="14" t="s">
        <v>104</v>
      </c>
      <c r="F24" s="14" t="s">
        <v>105</v>
      </c>
      <c r="G24" s="14" t="s">
        <v>106</v>
      </c>
      <c r="H24" s="14" t="s">
        <v>107</v>
      </c>
      <c r="I24" s="14" t="s">
        <v>25</v>
      </c>
      <c r="J24" s="14" t="s">
        <v>26</v>
      </c>
      <c r="K24" s="14" t="s">
        <v>108</v>
      </c>
      <c r="L24" s="15" t="s">
        <v>109</v>
      </c>
    </row>
    <row r="25" spans="1:14" x14ac:dyDescent="0.45">
      <c r="A25" s="24" t="s">
        <v>32</v>
      </c>
      <c r="B25" s="44">
        <v>5</v>
      </c>
      <c r="C25" s="44">
        <v>4.5</v>
      </c>
      <c r="D25" s="16">
        <v>100</v>
      </c>
      <c r="E25" s="16">
        <v>2</v>
      </c>
      <c r="F25" s="17">
        <v>0.3</v>
      </c>
      <c r="G25" s="44">
        <v>1</v>
      </c>
      <c r="H25" s="45" t="s">
        <v>110</v>
      </c>
      <c r="I25" s="16">
        <v>120</v>
      </c>
      <c r="J25" s="18" t="s">
        <v>61</v>
      </c>
      <c r="K25" s="46">
        <v>1.67</v>
      </c>
      <c r="L25" s="47" t="s">
        <v>111</v>
      </c>
    </row>
    <row r="26" spans="1:14" x14ac:dyDescent="0.45">
      <c r="A26" s="20" t="s">
        <v>37</v>
      </c>
      <c r="B26" s="48">
        <v>1</v>
      </c>
      <c r="C26" s="48">
        <v>0.85</v>
      </c>
      <c r="D26" s="21">
        <v>60</v>
      </c>
      <c r="E26" s="21">
        <v>1</v>
      </c>
      <c r="F26" s="22">
        <v>0.05</v>
      </c>
      <c r="G26" s="48">
        <v>0.3</v>
      </c>
      <c r="H26" s="49" t="s">
        <v>112</v>
      </c>
      <c r="I26" s="21">
        <v>70</v>
      </c>
      <c r="J26" s="18" t="s">
        <v>63</v>
      </c>
      <c r="K26" s="50" t="s">
        <v>113</v>
      </c>
      <c r="L26" s="51" t="s">
        <v>113</v>
      </c>
    </row>
    <row r="27" spans="1:14" x14ac:dyDescent="0.45">
      <c r="A27" s="24" t="s">
        <v>41</v>
      </c>
      <c r="B27" s="44">
        <v>0.5</v>
      </c>
      <c r="C27" s="44">
        <v>0.44</v>
      </c>
      <c r="D27" s="16">
        <v>120</v>
      </c>
      <c r="E27" s="16">
        <v>2</v>
      </c>
      <c r="F27" s="17">
        <v>0.04</v>
      </c>
      <c r="G27" s="44">
        <v>0.1</v>
      </c>
      <c r="H27" s="45" t="s">
        <v>114</v>
      </c>
      <c r="I27" s="16">
        <v>140</v>
      </c>
      <c r="J27" s="18" t="s">
        <v>63</v>
      </c>
      <c r="K27" s="46">
        <v>1.5</v>
      </c>
      <c r="L27" s="47" t="s">
        <v>111</v>
      </c>
    </row>
    <row r="28" spans="1:14" x14ac:dyDescent="0.45">
      <c r="A28" s="26" t="s">
        <v>45</v>
      </c>
      <c r="B28" s="52">
        <v>0.8</v>
      </c>
      <c r="C28" s="52">
        <v>0.74</v>
      </c>
      <c r="D28" s="28">
        <v>90</v>
      </c>
      <c r="E28" s="28">
        <v>1</v>
      </c>
      <c r="F28" s="29">
        <v>0.03</v>
      </c>
      <c r="G28" s="52">
        <v>0.2</v>
      </c>
      <c r="H28" s="53" t="s">
        <v>115</v>
      </c>
      <c r="I28" s="28">
        <v>100</v>
      </c>
      <c r="J28" s="30" t="s">
        <v>65</v>
      </c>
      <c r="K28" s="54" t="s">
        <v>113</v>
      </c>
      <c r="L28" s="55" t="s">
        <v>113</v>
      </c>
    </row>
    <row r="30" spans="1:14" x14ac:dyDescent="0.45">
      <c r="A30" s="32" t="s">
        <v>116</v>
      </c>
    </row>
    <row r="31" spans="1:14" ht="98" customHeight="1" x14ac:dyDescent="0.45">
      <c r="A31" s="97" t="s">
        <v>128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</row>
    <row r="33" spans="1:5" x14ac:dyDescent="0.45">
      <c r="A33" s="32" t="s">
        <v>129</v>
      </c>
    </row>
    <row r="34" spans="1:5" x14ac:dyDescent="0.45">
      <c r="A34" s="1" t="s">
        <v>130</v>
      </c>
      <c r="B34" s="2" t="s">
        <v>131</v>
      </c>
      <c r="C34" s="2" t="s">
        <v>132</v>
      </c>
      <c r="D34" s="2" t="s">
        <v>133</v>
      </c>
      <c r="E34" s="3" t="s">
        <v>134</v>
      </c>
    </row>
    <row r="35" spans="1:5" x14ac:dyDescent="0.45">
      <c r="A35" s="62" t="s">
        <v>135</v>
      </c>
      <c r="B35" s="63" t="s">
        <v>136</v>
      </c>
      <c r="C35" s="63" t="s">
        <v>137</v>
      </c>
      <c r="D35" s="64" t="s">
        <v>138</v>
      </c>
      <c r="E35" s="65" t="s">
        <v>139</v>
      </c>
    </row>
    <row r="36" spans="1:5" x14ac:dyDescent="0.45">
      <c r="A36" s="66" t="s">
        <v>140</v>
      </c>
      <c r="B36" s="67" t="s">
        <v>136</v>
      </c>
      <c r="C36" s="67" t="s">
        <v>141</v>
      </c>
      <c r="D36" s="68" t="s">
        <v>142</v>
      </c>
      <c r="E36" s="69" t="s">
        <v>143</v>
      </c>
    </row>
    <row r="37" spans="1:5" x14ac:dyDescent="0.45">
      <c r="A37" s="62" t="s">
        <v>144</v>
      </c>
      <c r="B37" s="63" t="s">
        <v>136</v>
      </c>
      <c r="C37" s="63" t="s">
        <v>145</v>
      </c>
      <c r="D37" s="64" t="s">
        <v>146</v>
      </c>
      <c r="E37" s="65" t="s">
        <v>147</v>
      </c>
    </row>
    <row r="38" spans="1:5" x14ac:dyDescent="0.45">
      <c r="A38" s="66" t="s">
        <v>148</v>
      </c>
      <c r="B38" s="67" t="s">
        <v>136</v>
      </c>
      <c r="C38" s="67" t="s">
        <v>149</v>
      </c>
      <c r="D38" s="68" t="s">
        <v>150</v>
      </c>
      <c r="E38" s="70" t="s">
        <v>151</v>
      </c>
    </row>
    <row r="39" spans="1:5" x14ac:dyDescent="0.45">
      <c r="A39" s="62" t="s">
        <v>152</v>
      </c>
      <c r="B39" s="63" t="s">
        <v>105</v>
      </c>
      <c r="C39" s="63" t="s">
        <v>137</v>
      </c>
      <c r="D39" s="64" t="s">
        <v>153</v>
      </c>
      <c r="E39" s="65" t="s">
        <v>154</v>
      </c>
    </row>
    <row r="40" spans="1:5" x14ac:dyDescent="0.45">
      <c r="A40" s="66" t="s">
        <v>155</v>
      </c>
      <c r="B40" s="67" t="s">
        <v>105</v>
      </c>
      <c r="C40" s="67" t="s">
        <v>145</v>
      </c>
      <c r="D40" s="68" t="s">
        <v>156</v>
      </c>
      <c r="E40" s="69" t="s">
        <v>157</v>
      </c>
    </row>
    <row r="41" spans="1:5" x14ac:dyDescent="0.45">
      <c r="A41" s="62" t="s">
        <v>158</v>
      </c>
      <c r="B41" s="63" t="s">
        <v>105</v>
      </c>
      <c r="C41" s="63" t="s">
        <v>149</v>
      </c>
      <c r="D41" s="64" t="s">
        <v>159</v>
      </c>
      <c r="E41" s="65" t="s">
        <v>160</v>
      </c>
    </row>
    <row r="42" spans="1:5" x14ac:dyDescent="0.45">
      <c r="A42" s="66" t="s">
        <v>161</v>
      </c>
      <c r="B42" s="67" t="s">
        <v>103</v>
      </c>
      <c r="C42" s="67" t="s">
        <v>137</v>
      </c>
      <c r="D42" s="68" t="s">
        <v>162</v>
      </c>
      <c r="E42" s="69" t="s">
        <v>163</v>
      </c>
    </row>
    <row r="43" spans="1:5" x14ac:dyDescent="0.45">
      <c r="A43" s="62" t="s">
        <v>164</v>
      </c>
      <c r="B43" s="63" t="s">
        <v>103</v>
      </c>
      <c r="C43" s="63" t="s">
        <v>165</v>
      </c>
      <c r="D43" s="64" t="s">
        <v>166</v>
      </c>
      <c r="E43" s="65" t="s">
        <v>167</v>
      </c>
    </row>
    <row r="44" spans="1:5" x14ac:dyDescent="0.45">
      <c r="A44" s="71" t="s">
        <v>168</v>
      </c>
      <c r="B44" s="72" t="s">
        <v>103</v>
      </c>
      <c r="C44" s="72" t="s">
        <v>145</v>
      </c>
      <c r="D44" s="73" t="s">
        <v>169</v>
      </c>
      <c r="E44" s="74" t="s">
        <v>170</v>
      </c>
    </row>
  </sheetData>
  <mergeCells count="3">
    <mergeCell ref="A31:N31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1"/>
  <sheetViews>
    <sheetView showGridLines="0" topLeftCell="A8" workbookViewId="0">
      <selection sqref="A1:N1"/>
    </sheetView>
  </sheetViews>
  <sheetFormatPr defaultRowHeight="14.25" x14ac:dyDescent="0.45"/>
  <cols>
    <col min="1" max="1" width="22" customWidth="1"/>
    <col min="2" max="11" width="13" customWidth="1"/>
    <col min="12" max="12" width="10" customWidth="1"/>
    <col min="13" max="13" width="13" customWidth="1"/>
  </cols>
  <sheetData>
    <row r="1" spans="1:14" ht="26" customHeight="1" x14ac:dyDescent="0.45">
      <c r="A1" s="99" t="s">
        <v>171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x14ac:dyDescent="0.45">
      <c r="A2" s="100" t="s">
        <v>172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4" spans="1:14" x14ac:dyDescent="0.45">
      <c r="A4" s="32" t="s">
        <v>86</v>
      </c>
    </row>
    <row r="5" spans="1:14" x14ac:dyDescent="0.45">
      <c r="A5" s="1" t="s">
        <v>87</v>
      </c>
      <c r="B5" s="2" t="s">
        <v>88</v>
      </c>
      <c r="C5" s="2" t="s">
        <v>89</v>
      </c>
      <c r="D5" s="2" t="s">
        <v>90</v>
      </c>
      <c r="E5" s="3" t="s">
        <v>91</v>
      </c>
    </row>
    <row r="6" spans="1:14" x14ac:dyDescent="0.45">
      <c r="A6" s="24" t="s">
        <v>173</v>
      </c>
      <c r="B6" s="16">
        <v>80</v>
      </c>
      <c r="C6" s="16">
        <v>95</v>
      </c>
      <c r="D6" s="16">
        <v>70</v>
      </c>
      <c r="E6" s="33">
        <v>110</v>
      </c>
    </row>
    <row r="7" spans="1:14" x14ac:dyDescent="0.45">
      <c r="A7" s="20" t="s">
        <v>174</v>
      </c>
      <c r="B7" s="21">
        <v>70</v>
      </c>
      <c r="C7" s="21">
        <v>80</v>
      </c>
      <c r="D7" s="21">
        <v>90</v>
      </c>
      <c r="E7" s="34">
        <v>85</v>
      </c>
    </row>
    <row r="8" spans="1:14" x14ac:dyDescent="0.45">
      <c r="A8" s="24" t="s">
        <v>175</v>
      </c>
      <c r="B8" s="16">
        <v>60</v>
      </c>
      <c r="C8" s="16">
        <v>75</v>
      </c>
      <c r="D8" s="16">
        <v>65</v>
      </c>
      <c r="E8" s="33">
        <v>80</v>
      </c>
    </row>
    <row r="9" spans="1:14" x14ac:dyDescent="0.45">
      <c r="A9" s="20" t="s">
        <v>176</v>
      </c>
      <c r="B9" s="21">
        <v>55</v>
      </c>
      <c r="C9" s="21">
        <v>60</v>
      </c>
      <c r="D9" s="21">
        <v>70</v>
      </c>
      <c r="E9" s="34">
        <v>65</v>
      </c>
    </row>
    <row r="10" spans="1:14" x14ac:dyDescent="0.45">
      <c r="A10" s="24" t="s">
        <v>177</v>
      </c>
      <c r="B10" s="16">
        <v>90</v>
      </c>
      <c r="C10" s="16">
        <v>85</v>
      </c>
      <c r="D10" s="16">
        <v>95</v>
      </c>
      <c r="E10" s="33">
        <v>100</v>
      </c>
    </row>
    <row r="11" spans="1:14" x14ac:dyDescent="0.45">
      <c r="A11" s="26" t="s">
        <v>178</v>
      </c>
      <c r="B11" s="28">
        <v>75</v>
      </c>
      <c r="C11" s="28">
        <v>80</v>
      </c>
      <c r="D11" s="28">
        <v>85</v>
      </c>
      <c r="E11" s="75">
        <v>90</v>
      </c>
    </row>
    <row r="13" spans="1:14" x14ac:dyDescent="0.45">
      <c r="A13" s="32" t="s">
        <v>95</v>
      </c>
    </row>
    <row r="14" spans="1:14" x14ac:dyDescent="0.45">
      <c r="A14" s="1" t="s">
        <v>96</v>
      </c>
      <c r="B14" s="14" t="s">
        <v>67</v>
      </c>
      <c r="C14" s="14" t="s">
        <v>71</v>
      </c>
      <c r="D14" s="14" t="s">
        <v>37</v>
      </c>
      <c r="E14" s="14" t="s">
        <v>45</v>
      </c>
      <c r="F14" s="14" t="s">
        <v>41</v>
      </c>
      <c r="G14" s="15" t="s">
        <v>80</v>
      </c>
    </row>
    <row r="15" spans="1:14" x14ac:dyDescent="0.45">
      <c r="A15" s="24" t="s">
        <v>173</v>
      </c>
      <c r="B15" s="16">
        <v>0</v>
      </c>
      <c r="C15" s="16">
        <v>0</v>
      </c>
      <c r="D15" s="16">
        <v>2</v>
      </c>
      <c r="E15" s="16">
        <v>1</v>
      </c>
      <c r="F15" s="16">
        <v>1</v>
      </c>
      <c r="G15" s="33">
        <v>0</v>
      </c>
    </row>
    <row r="16" spans="1:14" x14ac:dyDescent="0.45">
      <c r="A16" s="20" t="s">
        <v>174</v>
      </c>
      <c r="B16" s="21">
        <v>1</v>
      </c>
      <c r="C16" s="21">
        <v>0</v>
      </c>
      <c r="D16" s="21">
        <v>0</v>
      </c>
      <c r="E16" s="21">
        <v>2</v>
      </c>
      <c r="F16" s="21">
        <v>0</v>
      </c>
      <c r="G16" s="34">
        <v>1</v>
      </c>
    </row>
    <row r="17" spans="1:12" x14ac:dyDescent="0.45">
      <c r="A17" s="24" t="s">
        <v>175</v>
      </c>
      <c r="B17" s="16">
        <v>0</v>
      </c>
      <c r="C17" s="16">
        <v>1</v>
      </c>
      <c r="D17" s="16">
        <v>1</v>
      </c>
      <c r="E17" s="16">
        <v>0</v>
      </c>
      <c r="F17" s="16">
        <v>0</v>
      </c>
      <c r="G17" s="33">
        <v>0</v>
      </c>
    </row>
    <row r="18" spans="1:12" x14ac:dyDescent="0.45">
      <c r="A18" s="20" t="s">
        <v>176</v>
      </c>
      <c r="B18" s="21">
        <v>1</v>
      </c>
      <c r="C18" s="21">
        <v>0</v>
      </c>
      <c r="D18" s="21">
        <v>1</v>
      </c>
      <c r="E18" s="21">
        <v>1</v>
      </c>
      <c r="F18" s="21">
        <v>0</v>
      </c>
      <c r="G18" s="34">
        <v>0</v>
      </c>
    </row>
    <row r="19" spans="1:12" x14ac:dyDescent="0.45">
      <c r="A19" s="24" t="s">
        <v>177</v>
      </c>
      <c r="B19" s="16">
        <v>0</v>
      </c>
      <c r="C19" s="16">
        <v>1</v>
      </c>
      <c r="D19" s="16">
        <v>0</v>
      </c>
      <c r="E19" s="16">
        <v>0</v>
      </c>
      <c r="F19" s="16">
        <v>1</v>
      </c>
      <c r="G19" s="33">
        <v>0</v>
      </c>
    </row>
    <row r="20" spans="1:12" x14ac:dyDescent="0.45">
      <c r="A20" s="26" t="s">
        <v>178</v>
      </c>
      <c r="B20" s="28">
        <v>1</v>
      </c>
      <c r="C20" s="28">
        <v>0</v>
      </c>
      <c r="D20" s="28">
        <v>0</v>
      </c>
      <c r="E20" s="28">
        <v>0</v>
      </c>
      <c r="F20" s="28">
        <v>1</v>
      </c>
      <c r="G20" s="75">
        <v>2</v>
      </c>
    </row>
    <row r="22" spans="1:12" x14ac:dyDescent="0.45">
      <c r="A22" s="32" t="s">
        <v>97</v>
      </c>
    </row>
    <row r="23" spans="1:12" x14ac:dyDescent="0.45">
      <c r="A23" s="1" t="s">
        <v>22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98</v>
      </c>
      <c r="G23" s="3" t="s">
        <v>99</v>
      </c>
    </row>
    <row r="24" spans="1:12" x14ac:dyDescent="0.45">
      <c r="A24" s="24" t="s">
        <v>67</v>
      </c>
      <c r="B24" s="16">
        <v>200</v>
      </c>
      <c r="C24" s="16">
        <v>220</v>
      </c>
      <c r="D24" s="16">
        <v>245</v>
      </c>
      <c r="E24" s="16">
        <v>240</v>
      </c>
      <c r="F24" s="38">
        <v>905</v>
      </c>
      <c r="G24" s="39">
        <v>245</v>
      </c>
    </row>
    <row r="25" spans="1:12" x14ac:dyDescent="0.45">
      <c r="A25" s="20" t="s">
        <v>71</v>
      </c>
      <c r="B25" s="21">
        <v>150</v>
      </c>
      <c r="C25" s="21">
        <v>160</v>
      </c>
      <c r="D25" s="21">
        <v>160</v>
      </c>
      <c r="E25" s="21">
        <v>180</v>
      </c>
      <c r="F25" s="40">
        <v>650</v>
      </c>
      <c r="G25" s="41">
        <v>180</v>
      </c>
    </row>
    <row r="26" spans="1:12" x14ac:dyDescent="0.45">
      <c r="A26" s="24" t="s">
        <v>37</v>
      </c>
      <c r="B26" s="16">
        <v>275</v>
      </c>
      <c r="C26" s="16">
        <v>325</v>
      </c>
      <c r="D26" s="16">
        <v>275</v>
      </c>
      <c r="E26" s="16">
        <v>365</v>
      </c>
      <c r="F26" s="38">
        <v>1240</v>
      </c>
      <c r="G26" s="39">
        <v>365</v>
      </c>
    </row>
    <row r="27" spans="1:12" x14ac:dyDescent="0.45">
      <c r="A27" s="20" t="s">
        <v>45</v>
      </c>
      <c r="B27" s="21">
        <v>275</v>
      </c>
      <c r="C27" s="21">
        <v>315</v>
      </c>
      <c r="D27" s="21">
        <v>320</v>
      </c>
      <c r="E27" s="21">
        <v>345</v>
      </c>
      <c r="F27" s="40">
        <v>1255</v>
      </c>
      <c r="G27" s="41">
        <v>345</v>
      </c>
    </row>
    <row r="28" spans="1:12" x14ac:dyDescent="0.45">
      <c r="A28" s="24" t="s">
        <v>41</v>
      </c>
      <c r="B28" s="16">
        <v>245</v>
      </c>
      <c r="C28" s="16">
        <v>260</v>
      </c>
      <c r="D28" s="16">
        <v>250</v>
      </c>
      <c r="E28" s="16">
        <v>300</v>
      </c>
      <c r="F28" s="38">
        <v>1055</v>
      </c>
      <c r="G28" s="39">
        <v>300</v>
      </c>
    </row>
    <row r="29" spans="1:12" x14ac:dyDescent="0.45">
      <c r="A29" s="26" t="s">
        <v>80</v>
      </c>
      <c r="B29" s="28">
        <v>220</v>
      </c>
      <c r="C29" s="28">
        <v>240</v>
      </c>
      <c r="D29" s="28">
        <v>260</v>
      </c>
      <c r="E29" s="28">
        <v>265</v>
      </c>
      <c r="F29" s="42">
        <v>985</v>
      </c>
      <c r="G29" s="43">
        <v>265</v>
      </c>
    </row>
    <row r="31" spans="1:12" x14ac:dyDescent="0.45">
      <c r="A31" s="32" t="s">
        <v>100</v>
      </c>
    </row>
    <row r="32" spans="1:12" ht="30" customHeight="1" x14ac:dyDescent="0.45">
      <c r="A32" s="13" t="s">
        <v>22</v>
      </c>
      <c r="B32" s="14" t="s">
        <v>101</v>
      </c>
      <c r="C32" s="14" t="s">
        <v>102</v>
      </c>
      <c r="D32" s="14" t="s">
        <v>103</v>
      </c>
      <c r="E32" s="14" t="s">
        <v>104</v>
      </c>
      <c r="F32" s="14" t="s">
        <v>105</v>
      </c>
      <c r="G32" s="14" t="s">
        <v>106</v>
      </c>
      <c r="H32" s="14" t="s">
        <v>107</v>
      </c>
      <c r="I32" s="14" t="s">
        <v>25</v>
      </c>
      <c r="J32" s="14" t="s">
        <v>26</v>
      </c>
      <c r="K32" s="14" t="s">
        <v>108</v>
      </c>
      <c r="L32" s="15" t="s">
        <v>109</v>
      </c>
    </row>
    <row r="33" spans="1:14" x14ac:dyDescent="0.45">
      <c r="A33" s="24" t="s">
        <v>67</v>
      </c>
      <c r="B33" s="44">
        <v>4.5</v>
      </c>
      <c r="C33" s="44">
        <v>3.85</v>
      </c>
      <c r="D33" s="16">
        <v>200</v>
      </c>
      <c r="E33" s="16">
        <v>2</v>
      </c>
      <c r="F33" s="17">
        <v>0.4</v>
      </c>
      <c r="G33" s="44">
        <v>1.2</v>
      </c>
      <c r="H33" s="45" t="s">
        <v>179</v>
      </c>
      <c r="I33" s="16">
        <v>485</v>
      </c>
      <c r="J33" s="18" t="s">
        <v>68</v>
      </c>
      <c r="K33" s="46">
        <v>1.62</v>
      </c>
      <c r="L33" s="47" t="s">
        <v>111</v>
      </c>
    </row>
    <row r="34" spans="1:14" x14ac:dyDescent="0.45">
      <c r="A34" s="20" t="s">
        <v>71</v>
      </c>
      <c r="B34" s="48">
        <v>6</v>
      </c>
      <c r="C34" s="48">
        <v>5.0999999999999996</v>
      </c>
      <c r="D34" s="21">
        <v>150</v>
      </c>
      <c r="E34" s="21">
        <v>2</v>
      </c>
      <c r="F34" s="22">
        <v>0.5</v>
      </c>
      <c r="G34" s="48">
        <v>1.8</v>
      </c>
      <c r="H34" s="49" t="s">
        <v>112</v>
      </c>
      <c r="I34" s="21">
        <v>340</v>
      </c>
      <c r="J34" s="18" t="s">
        <v>72</v>
      </c>
      <c r="K34" s="59">
        <v>1.8</v>
      </c>
      <c r="L34" s="47" t="s">
        <v>111</v>
      </c>
    </row>
    <row r="35" spans="1:14" x14ac:dyDescent="0.45">
      <c r="A35" s="24" t="s">
        <v>37</v>
      </c>
      <c r="B35" s="44">
        <v>1</v>
      </c>
      <c r="C35" s="44">
        <v>0.82</v>
      </c>
      <c r="D35" s="16">
        <v>300</v>
      </c>
      <c r="E35" s="16">
        <v>1</v>
      </c>
      <c r="F35" s="17">
        <v>0.04</v>
      </c>
      <c r="G35" s="44">
        <v>0.25</v>
      </c>
      <c r="H35" s="45" t="s">
        <v>180</v>
      </c>
      <c r="I35" s="16">
        <v>365</v>
      </c>
      <c r="J35" s="18" t="s">
        <v>42</v>
      </c>
      <c r="K35" s="56" t="s">
        <v>113</v>
      </c>
      <c r="L35" s="57" t="s">
        <v>113</v>
      </c>
    </row>
    <row r="36" spans="1:14" x14ac:dyDescent="0.45">
      <c r="A36" s="20" t="s">
        <v>45</v>
      </c>
      <c r="B36" s="48">
        <v>0.8</v>
      </c>
      <c r="C36" s="48">
        <v>0.66</v>
      </c>
      <c r="D36" s="21">
        <v>280</v>
      </c>
      <c r="E36" s="21">
        <v>1</v>
      </c>
      <c r="F36" s="22">
        <v>0.03</v>
      </c>
      <c r="G36" s="48">
        <v>0.18</v>
      </c>
      <c r="H36" s="49" t="s">
        <v>181</v>
      </c>
      <c r="I36" s="21">
        <v>345</v>
      </c>
      <c r="J36" s="18" t="s">
        <v>75</v>
      </c>
      <c r="K36" s="50" t="s">
        <v>113</v>
      </c>
      <c r="L36" s="51" t="s">
        <v>113</v>
      </c>
    </row>
    <row r="37" spans="1:14" x14ac:dyDescent="0.45">
      <c r="A37" s="24" t="s">
        <v>41</v>
      </c>
      <c r="B37" s="44">
        <v>0.5</v>
      </c>
      <c r="C37" s="44">
        <v>0.42</v>
      </c>
      <c r="D37" s="16">
        <v>400</v>
      </c>
      <c r="E37" s="16">
        <v>2</v>
      </c>
      <c r="F37" s="17">
        <v>0.05</v>
      </c>
      <c r="G37" s="44">
        <v>0.08</v>
      </c>
      <c r="H37" s="45" t="s">
        <v>182</v>
      </c>
      <c r="I37" s="16">
        <v>550</v>
      </c>
      <c r="J37" s="18" t="s">
        <v>77</v>
      </c>
      <c r="K37" s="46">
        <v>1.6</v>
      </c>
      <c r="L37" s="47" t="s">
        <v>111</v>
      </c>
    </row>
    <row r="38" spans="1:14" x14ac:dyDescent="0.45">
      <c r="A38" s="26" t="s">
        <v>80</v>
      </c>
      <c r="B38" s="52">
        <v>0.3</v>
      </c>
      <c r="C38" s="52">
        <v>0.24</v>
      </c>
      <c r="D38" s="28">
        <v>500</v>
      </c>
      <c r="E38" s="28">
        <v>3</v>
      </c>
      <c r="F38" s="29">
        <v>0.03</v>
      </c>
      <c r="G38" s="52">
        <v>0.05</v>
      </c>
      <c r="H38" s="53" t="s">
        <v>183</v>
      </c>
      <c r="I38" s="28">
        <v>765</v>
      </c>
      <c r="J38" s="30" t="s">
        <v>81</v>
      </c>
      <c r="K38" s="60">
        <v>2</v>
      </c>
      <c r="L38" s="61" t="s">
        <v>111</v>
      </c>
    </row>
    <row r="40" spans="1:14" x14ac:dyDescent="0.45">
      <c r="A40" s="32" t="s">
        <v>116</v>
      </c>
    </row>
    <row r="41" spans="1:14" ht="98" customHeight="1" x14ac:dyDescent="0.45">
      <c r="A41" s="97" t="s">
        <v>184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</row>
  </sheetData>
  <mergeCells count="3">
    <mergeCell ref="A41:N41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8"/>
  <sheetViews>
    <sheetView showGridLines="0" workbookViewId="0">
      <selection activeCell="E6" sqref="E6"/>
    </sheetView>
  </sheetViews>
  <sheetFormatPr defaultRowHeight="14.25" x14ac:dyDescent="0.45"/>
  <cols>
    <col min="1" max="1" width="10" customWidth="1"/>
    <col min="2" max="2" width="22" customWidth="1"/>
    <col min="3" max="3" width="10" customWidth="1"/>
    <col min="4" max="4" width="4" customWidth="1"/>
    <col min="5" max="5" width="22" customWidth="1"/>
    <col min="6" max="6" width="18" customWidth="1"/>
    <col min="7" max="7" width="10" customWidth="1"/>
    <col min="8" max="8" width="4" customWidth="1"/>
    <col min="9" max="9" width="18" customWidth="1"/>
    <col min="10" max="12" width="8" customWidth="1"/>
    <col min="13" max="13" width="6" customWidth="1"/>
    <col min="14" max="15" width="8" customWidth="1"/>
  </cols>
  <sheetData>
    <row r="1" spans="1:15" ht="22.05" customHeight="1" x14ac:dyDescent="0.45">
      <c r="A1" s="101" t="s">
        <v>199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3" spans="1:15" ht="20" customHeight="1" x14ac:dyDescent="0.45">
      <c r="A3" s="76" t="s">
        <v>4</v>
      </c>
    </row>
    <row r="4" spans="1:15" x14ac:dyDescent="0.45">
      <c r="A4" s="102" t="s">
        <v>185</v>
      </c>
      <c r="B4" s="96"/>
      <c r="C4" s="96"/>
    </row>
    <row r="5" spans="1:15" x14ac:dyDescent="0.45">
      <c r="A5" s="78" t="s">
        <v>186</v>
      </c>
      <c r="B5" s="78" t="s">
        <v>187</v>
      </c>
      <c r="C5" s="78" t="s">
        <v>188</v>
      </c>
    </row>
    <row r="6" spans="1:15" x14ac:dyDescent="0.45">
      <c r="A6" s="79" t="s">
        <v>88</v>
      </c>
      <c r="B6" s="79" t="s">
        <v>92</v>
      </c>
      <c r="C6" s="80">
        <v>80</v>
      </c>
    </row>
    <row r="7" spans="1:15" x14ac:dyDescent="0.45">
      <c r="A7" s="81" t="s">
        <v>89</v>
      </c>
      <c r="B7" s="81" t="s">
        <v>92</v>
      </c>
      <c r="C7" s="82">
        <v>90</v>
      </c>
    </row>
    <row r="8" spans="1:15" x14ac:dyDescent="0.45">
      <c r="A8" s="79" t="s">
        <v>90</v>
      </c>
      <c r="B8" s="79" t="s">
        <v>92</v>
      </c>
      <c r="C8" s="80">
        <v>70</v>
      </c>
    </row>
    <row r="9" spans="1:15" x14ac:dyDescent="0.45">
      <c r="A9" s="81" t="s">
        <v>91</v>
      </c>
      <c r="B9" s="81" t="s">
        <v>92</v>
      </c>
      <c r="C9" s="82">
        <v>100</v>
      </c>
    </row>
    <row r="10" spans="1:15" x14ac:dyDescent="0.45">
      <c r="A10" s="79" t="s">
        <v>88</v>
      </c>
      <c r="B10" s="79" t="s">
        <v>93</v>
      </c>
      <c r="C10" s="80">
        <v>60</v>
      </c>
    </row>
    <row r="11" spans="1:15" x14ac:dyDescent="0.45">
      <c r="A11" s="81" t="s">
        <v>89</v>
      </c>
      <c r="B11" s="81" t="s">
        <v>93</v>
      </c>
      <c r="C11" s="82">
        <v>80</v>
      </c>
    </row>
    <row r="12" spans="1:15" x14ac:dyDescent="0.45">
      <c r="A12" s="79" t="s">
        <v>90</v>
      </c>
      <c r="B12" s="79" t="s">
        <v>93</v>
      </c>
      <c r="C12" s="80">
        <v>90</v>
      </c>
    </row>
    <row r="13" spans="1:15" x14ac:dyDescent="0.45">
      <c r="A13" s="81" t="s">
        <v>91</v>
      </c>
      <c r="B13" s="81" t="s">
        <v>93</v>
      </c>
      <c r="C13" s="82">
        <v>70</v>
      </c>
    </row>
    <row r="14" spans="1:15" x14ac:dyDescent="0.45">
      <c r="A14" s="79" t="s">
        <v>88</v>
      </c>
      <c r="B14" s="79" t="s">
        <v>94</v>
      </c>
      <c r="C14" s="80">
        <v>50</v>
      </c>
    </row>
    <row r="15" spans="1:15" x14ac:dyDescent="0.45">
      <c r="A15" s="81" t="s">
        <v>89</v>
      </c>
      <c r="B15" s="81" t="s">
        <v>94</v>
      </c>
      <c r="C15" s="82">
        <v>60</v>
      </c>
    </row>
    <row r="16" spans="1:15" x14ac:dyDescent="0.45">
      <c r="A16" s="79" t="s">
        <v>90</v>
      </c>
      <c r="B16" s="79" t="s">
        <v>94</v>
      </c>
      <c r="C16" s="80">
        <v>80</v>
      </c>
    </row>
    <row r="17" spans="1:15" x14ac:dyDescent="0.45">
      <c r="A17" s="81" t="s">
        <v>91</v>
      </c>
      <c r="B17" s="81" t="s">
        <v>94</v>
      </c>
      <c r="C17" s="82">
        <v>90</v>
      </c>
    </row>
    <row r="19" spans="1:15" x14ac:dyDescent="0.45">
      <c r="E19" s="102" t="s">
        <v>189</v>
      </c>
      <c r="F19" s="96"/>
      <c r="G19" s="96"/>
    </row>
    <row r="20" spans="1:15" x14ac:dyDescent="0.45">
      <c r="E20" s="78" t="s">
        <v>187</v>
      </c>
      <c r="F20" s="78" t="s">
        <v>190</v>
      </c>
      <c r="G20" s="78" t="s">
        <v>191</v>
      </c>
      <c r="I20" s="102" t="s">
        <v>192</v>
      </c>
      <c r="J20" s="96"/>
      <c r="K20" s="96"/>
      <c r="L20" s="96"/>
      <c r="M20" s="96"/>
      <c r="N20" s="96"/>
      <c r="O20" s="96"/>
    </row>
    <row r="21" spans="1:15" x14ac:dyDescent="0.45">
      <c r="E21" s="79" t="s">
        <v>92</v>
      </c>
      <c r="F21" s="79" t="s">
        <v>37</v>
      </c>
      <c r="G21" s="80">
        <v>1</v>
      </c>
      <c r="I21" s="78" t="s">
        <v>190</v>
      </c>
      <c r="J21" s="78" t="s">
        <v>193</v>
      </c>
      <c r="K21" s="78" t="s">
        <v>194</v>
      </c>
      <c r="L21" s="78" t="s">
        <v>195</v>
      </c>
      <c r="M21" s="78" t="s">
        <v>196</v>
      </c>
      <c r="N21" s="78" t="s">
        <v>197</v>
      </c>
      <c r="O21" s="78" t="s">
        <v>198</v>
      </c>
    </row>
    <row r="22" spans="1:15" x14ac:dyDescent="0.45">
      <c r="E22" s="79" t="s">
        <v>92</v>
      </c>
      <c r="F22" s="79" t="s">
        <v>41</v>
      </c>
      <c r="G22" s="80">
        <v>1</v>
      </c>
      <c r="I22" s="79" t="s">
        <v>32</v>
      </c>
      <c r="J22" s="83">
        <v>5</v>
      </c>
      <c r="K22" s="83">
        <v>4.5</v>
      </c>
      <c r="L22" s="80">
        <v>120</v>
      </c>
      <c r="M22" s="80">
        <v>2</v>
      </c>
      <c r="N22" s="84">
        <v>0.3</v>
      </c>
      <c r="O22" s="83">
        <v>1</v>
      </c>
    </row>
    <row r="23" spans="1:15" x14ac:dyDescent="0.45">
      <c r="E23" s="79" t="s">
        <v>93</v>
      </c>
      <c r="F23" s="79" t="s">
        <v>45</v>
      </c>
      <c r="G23" s="80">
        <v>2</v>
      </c>
      <c r="I23" s="81" t="s">
        <v>37</v>
      </c>
      <c r="J23" s="85">
        <v>1</v>
      </c>
      <c r="K23" s="85">
        <v>0.85</v>
      </c>
      <c r="L23" s="82">
        <v>85</v>
      </c>
      <c r="M23" s="82">
        <v>1</v>
      </c>
      <c r="N23" s="86">
        <v>0.05</v>
      </c>
      <c r="O23" s="85">
        <v>0.3</v>
      </c>
    </row>
    <row r="24" spans="1:15" x14ac:dyDescent="0.45">
      <c r="E24" s="79" t="s">
        <v>94</v>
      </c>
      <c r="F24" s="79" t="s">
        <v>32</v>
      </c>
      <c r="G24" s="80">
        <v>1</v>
      </c>
      <c r="I24" s="79" t="s">
        <v>41</v>
      </c>
      <c r="J24" s="83">
        <v>0.5</v>
      </c>
      <c r="K24" s="83">
        <v>0.44</v>
      </c>
      <c r="L24" s="80">
        <v>140</v>
      </c>
      <c r="M24" s="80">
        <v>2</v>
      </c>
      <c r="N24" s="84">
        <v>0.04</v>
      </c>
      <c r="O24" s="83">
        <v>0.1</v>
      </c>
    </row>
    <row r="25" spans="1:15" x14ac:dyDescent="0.45">
      <c r="I25" s="81" t="s">
        <v>45</v>
      </c>
      <c r="J25" s="85">
        <v>0.8</v>
      </c>
      <c r="K25" s="85">
        <v>0.74</v>
      </c>
      <c r="L25" s="82">
        <v>160</v>
      </c>
      <c r="M25" s="82">
        <v>1</v>
      </c>
      <c r="N25" s="86">
        <v>0.03</v>
      </c>
      <c r="O25" s="85">
        <v>0.2</v>
      </c>
    </row>
    <row r="28" spans="1:15" ht="20" customHeight="1" x14ac:dyDescent="0.45">
      <c r="A28" s="76" t="s">
        <v>7</v>
      </c>
    </row>
    <row r="29" spans="1:15" x14ac:dyDescent="0.45">
      <c r="A29" s="102" t="s">
        <v>185</v>
      </c>
      <c r="B29" s="96"/>
      <c r="C29" s="96"/>
    </row>
    <row r="30" spans="1:15" x14ac:dyDescent="0.45">
      <c r="A30" s="78" t="s">
        <v>186</v>
      </c>
      <c r="B30" s="78" t="s">
        <v>187</v>
      </c>
      <c r="C30" s="78" t="s">
        <v>188</v>
      </c>
    </row>
    <row r="31" spans="1:15" x14ac:dyDescent="0.45">
      <c r="A31" s="79" t="s">
        <v>88</v>
      </c>
      <c r="B31" s="79" t="s">
        <v>92</v>
      </c>
      <c r="C31" s="80">
        <v>40</v>
      </c>
    </row>
    <row r="32" spans="1:15" x14ac:dyDescent="0.45">
      <c r="A32" s="81" t="s">
        <v>89</v>
      </c>
      <c r="B32" s="81" t="s">
        <v>92</v>
      </c>
      <c r="C32" s="82">
        <v>35</v>
      </c>
    </row>
    <row r="33" spans="1:15" x14ac:dyDescent="0.45">
      <c r="A33" s="79" t="s">
        <v>90</v>
      </c>
      <c r="B33" s="79" t="s">
        <v>92</v>
      </c>
      <c r="C33" s="80">
        <v>30</v>
      </c>
    </row>
    <row r="34" spans="1:15" x14ac:dyDescent="0.45">
      <c r="A34" s="81" t="s">
        <v>91</v>
      </c>
      <c r="B34" s="81" t="s">
        <v>92</v>
      </c>
      <c r="C34" s="82">
        <v>40</v>
      </c>
    </row>
    <row r="35" spans="1:15" x14ac:dyDescent="0.45">
      <c r="A35" s="79" t="s">
        <v>88</v>
      </c>
      <c r="B35" s="79" t="s">
        <v>93</v>
      </c>
      <c r="C35" s="80">
        <v>30</v>
      </c>
    </row>
    <row r="36" spans="1:15" x14ac:dyDescent="0.45">
      <c r="A36" s="81" t="s">
        <v>89</v>
      </c>
      <c r="B36" s="81" t="s">
        <v>93</v>
      </c>
      <c r="C36" s="82">
        <v>25</v>
      </c>
    </row>
    <row r="37" spans="1:15" x14ac:dyDescent="0.45">
      <c r="A37" s="79" t="s">
        <v>90</v>
      </c>
      <c r="B37" s="79" t="s">
        <v>93</v>
      </c>
      <c r="C37" s="80">
        <v>35</v>
      </c>
    </row>
    <row r="38" spans="1:15" x14ac:dyDescent="0.45">
      <c r="A38" s="81" t="s">
        <v>91</v>
      </c>
      <c r="B38" s="81" t="s">
        <v>93</v>
      </c>
      <c r="C38" s="82">
        <v>30</v>
      </c>
    </row>
    <row r="39" spans="1:15" x14ac:dyDescent="0.45">
      <c r="A39" s="79" t="s">
        <v>88</v>
      </c>
      <c r="B39" s="79" t="s">
        <v>94</v>
      </c>
      <c r="C39" s="80">
        <v>20</v>
      </c>
    </row>
    <row r="40" spans="1:15" x14ac:dyDescent="0.45">
      <c r="A40" s="81" t="s">
        <v>89</v>
      </c>
      <c r="B40" s="81" t="s">
        <v>94</v>
      </c>
      <c r="C40" s="82">
        <v>25</v>
      </c>
    </row>
    <row r="41" spans="1:15" x14ac:dyDescent="0.45">
      <c r="A41" s="79" t="s">
        <v>90</v>
      </c>
      <c r="B41" s="79" t="s">
        <v>94</v>
      </c>
      <c r="C41" s="80">
        <v>20</v>
      </c>
    </row>
    <row r="42" spans="1:15" x14ac:dyDescent="0.45">
      <c r="A42" s="81" t="s">
        <v>91</v>
      </c>
      <c r="B42" s="81" t="s">
        <v>94</v>
      </c>
      <c r="C42" s="82">
        <v>25</v>
      </c>
    </row>
    <row r="44" spans="1:15" x14ac:dyDescent="0.45">
      <c r="E44" s="102" t="s">
        <v>189</v>
      </c>
      <c r="F44" s="96"/>
      <c r="G44" s="96"/>
    </row>
    <row r="45" spans="1:15" x14ac:dyDescent="0.45">
      <c r="E45" s="78" t="s">
        <v>187</v>
      </c>
      <c r="F45" s="78" t="s">
        <v>190</v>
      </c>
      <c r="G45" s="78" t="s">
        <v>191</v>
      </c>
      <c r="I45" s="102" t="s">
        <v>192</v>
      </c>
      <c r="J45" s="96"/>
      <c r="K45" s="96"/>
      <c r="L45" s="96"/>
      <c r="M45" s="96"/>
      <c r="N45" s="96"/>
      <c r="O45" s="96"/>
    </row>
    <row r="46" spans="1:15" x14ac:dyDescent="0.45">
      <c r="E46" s="79" t="s">
        <v>92</v>
      </c>
      <c r="F46" s="79" t="s">
        <v>37</v>
      </c>
      <c r="G46" s="80">
        <v>1</v>
      </c>
      <c r="I46" s="78" t="s">
        <v>190</v>
      </c>
      <c r="J46" s="78" t="s">
        <v>193</v>
      </c>
      <c r="K46" s="78" t="s">
        <v>194</v>
      </c>
      <c r="L46" s="78" t="s">
        <v>195</v>
      </c>
      <c r="M46" s="78" t="s">
        <v>196</v>
      </c>
      <c r="N46" s="78" t="s">
        <v>197</v>
      </c>
      <c r="O46" s="78" t="s">
        <v>198</v>
      </c>
    </row>
    <row r="47" spans="1:15" x14ac:dyDescent="0.45">
      <c r="E47" s="79" t="s">
        <v>92</v>
      </c>
      <c r="F47" s="79" t="s">
        <v>41</v>
      </c>
      <c r="G47" s="80">
        <v>1</v>
      </c>
      <c r="I47" s="79" t="s">
        <v>32</v>
      </c>
      <c r="J47" s="83">
        <v>5</v>
      </c>
      <c r="K47" s="83">
        <v>4.5</v>
      </c>
      <c r="L47" s="80">
        <v>200</v>
      </c>
      <c r="M47" s="80">
        <v>1</v>
      </c>
      <c r="N47" s="84">
        <v>0.2</v>
      </c>
      <c r="O47" s="83">
        <v>2.5</v>
      </c>
    </row>
    <row r="48" spans="1:15" x14ac:dyDescent="0.45">
      <c r="E48" s="79" t="s">
        <v>93</v>
      </c>
      <c r="F48" s="79" t="s">
        <v>45</v>
      </c>
      <c r="G48" s="80">
        <v>2</v>
      </c>
      <c r="I48" s="81" t="s">
        <v>37</v>
      </c>
      <c r="J48" s="85">
        <v>1</v>
      </c>
      <c r="K48" s="85">
        <v>0.85</v>
      </c>
      <c r="L48" s="82">
        <v>200</v>
      </c>
      <c r="M48" s="82">
        <v>1</v>
      </c>
      <c r="N48" s="86">
        <v>0.05</v>
      </c>
      <c r="O48" s="85">
        <v>0.8</v>
      </c>
    </row>
    <row r="49" spans="1:15" x14ac:dyDescent="0.45">
      <c r="E49" s="79" t="s">
        <v>94</v>
      </c>
      <c r="F49" s="79" t="s">
        <v>32</v>
      </c>
      <c r="G49" s="80">
        <v>1</v>
      </c>
      <c r="I49" s="79" t="s">
        <v>41</v>
      </c>
      <c r="J49" s="83">
        <v>0.5</v>
      </c>
      <c r="K49" s="83">
        <v>0.44</v>
      </c>
      <c r="L49" s="80">
        <v>200</v>
      </c>
      <c r="M49" s="80">
        <v>1</v>
      </c>
      <c r="N49" s="84">
        <v>0.02</v>
      </c>
      <c r="O49" s="83">
        <v>0.4</v>
      </c>
    </row>
    <row r="50" spans="1:15" x14ac:dyDescent="0.45">
      <c r="I50" s="81" t="s">
        <v>45</v>
      </c>
      <c r="J50" s="85">
        <v>0.8</v>
      </c>
      <c r="K50" s="85">
        <v>0.74</v>
      </c>
      <c r="L50" s="82">
        <v>200</v>
      </c>
      <c r="M50" s="82">
        <v>1</v>
      </c>
      <c r="N50" s="86">
        <v>0.03</v>
      </c>
      <c r="O50" s="85">
        <v>0.7</v>
      </c>
    </row>
    <row r="53" spans="1:15" ht="20" customHeight="1" x14ac:dyDescent="0.45">
      <c r="A53" s="76" t="s">
        <v>10</v>
      </c>
    </row>
    <row r="54" spans="1:15" x14ac:dyDescent="0.45">
      <c r="A54" s="102" t="s">
        <v>185</v>
      </c>
      <c r="B54" s="96"/>
      <c r="C54" s="96"/>
    </row>
    <row r="55" spans="1:15" x14ac:dyDescent="0.45">
      <c r="A55" s="78" t="s">
        <v>186</v>
      </c>
      <c r="B55" s="78" t="s">
        <v>187</v>
      </c>
      <c r="C55" s="78" t="s">
        <v>188</v>
      </c>
    </row>
    <row r="56" spans="1:15" x14ac:dyDescent="0.45">
      <c r="A56" s="79" t="s">
        <v>88</v>
      </c>
      <c r="B56" s="79" t="s">
        <v>92</v>
      </c>
      <c r="C56" s="80">
        <v>20</v>
      </c>
    </row>
    <row r="57" spans="1:15" x14ac:dyDescent="0.45">
      <c r="A57" s="81" t="s">
        <v>89</v>
      </c>
      <c r="B57" s="81" t="s">
        <v>92</v>
      </c>
      <c r="C57" s="82">
        <v>120</v>
      </c>
    </row>
    <row r="58" spans="1:15" x14ac:dyDescent="0.45">
      <c r="A58" s="79" t="s">
        <v>90</v>
      </c>
      <c r="B58" s="79" t="s">
        <v>92</v>
      </c>
      <c r="C58" s="80">
        <v>20</v>
      </c>
    </row>
    <row r="59" spans="1:15" x14ac:dyDescent="0.45">
      <c r="A59" s="81" t="s">
        <v>91</v>
      </c>
      <c r="B59" s="81" t="s">
        <v>92</v>
      </c>
      <c r="C59" s="82">
        <v>120</v>
      </c>
    </row>
    <row r="60" spans="1:15" x14ac:dyDescent="0.45">
      <c r="A60" s="79" t="s">
        <v>88</v>
      </c>
      <c r="B60" s="79" t="s">
        <v>93</v>
      </c>
      <c r="C60" s="80">
        <v>10</v>
      </c>
    </row>
    <row r="61" spans="1:15" x14ac:dyDescent="0.45">
      <c r="A61" s="81" t="s">
        <v>89</v>
      </c>
      <c r="B61" s="81" t="s">
        <v>93</v>
      </c>
      <c r="C61" s="82">
        <v>80</v>
      </c>
    </row>
    <row r="62" spans="1:15" x14ac:dyDescent="0.45">
      <c r="A62" s="79" t="s">
        <v>90</v>
      </c>
      <c r="B62" s="79" t="s">
        <v>93</v>
      </c>
      <c r="C62" s="80">
        <v>10</v>
      </c>
    </row>
    <row r="63" spans="1:15" x14ac:dyDescent="0.45">
      <c r="A63" s="81" t="s">
        <v>91</v>
      </c>
      <c r="B63" s="81" t="s">
        <v>93</v>
      </c>
      <c r="C63" s="82">
        <v>80</v>
      </c>
    </row>
    <row r="64" spans="1:15" x14ac:dyDescent="0.45">
      <c r="A64" s="79" t="s">
        <v>88</v>
      </c>
      <c r="B64" s="79" t="s">
        <v>94</v>
      </c>
      <c r="C64" s="80">
        <v>15</v>
      </c>
    </row>
    <row r="65" spans="1:15" x14ac:dyDescent="0.45">
      <c r="A65" s="81" t="s">
        <v>89</v>
      </c>
      <c r="B65" s="81" t="s">
        <v>94</v>
      </c>
      <c r="C65" s="82">
        <v>90</v>
      </c>
    </row>
    <row r="66" spans="1:15" x14ac:dyDescent="0.45">
      <c r="A66" s="79" t="s">
        <v>90</v>
      </c>
      <c r="B66" s="79" t="s">
        <v>94</v>
      </c>
      <c r="C66" s="80">
        <v>15</v>
      </c>
    </row>
    <row r="67" spans="1:15" x14ac:dyDescent="0.45">
      <c r="A67" s="81" t="s">
        <v>91</v>
      </c>
      <c r="B67" s="81" t="s">
        <v>94</v>
      </c>
      <c r="C67" s="82">
        <v>90</v>
      </c>
    </row>
    <row r="69" spans="1:15" x14ac:dyDescent="0.45">
      <c r="E69" s="102" t="s">
        <v>189</v>
      </c>
      <c r="F69" s="96"/>
      <c r="G69" s="96"/>
    </row>
    <row r="70" spans="1:15" x14ac:dyDescent="0.45">
      <c r="E70" s="78" t="s">
        <v>187</v>
      </c>
      <c r="F70" s="78" t="s">
        <v>190</v>
      </c>
      <c r="G70" s="78" t="s">
        <v>191</v>
      </c>
      <c r="I70" s="102" t="s">
        <v>192</v>
      </c>
      <c r="J70" s="96"/>
      <c r="K70" s="96"/>
      <c r="L70" s="96"/>
      <c r="M70" s="96"/>
      <c r="N70" s="96"/>
      <c r="O70" s="96"/>
    </row>
    <row r="71" spans="1:15" x14ac:dyDescent="0.45">
      <c r="E71" s="79" t="s">
        <v>92</v>
      </c>
      <c r="F71" s="79" t="s">
        <v>37</v>
      </c>
      <c r="G71" s="80">
        <v>1</v>
      </c>
      <c r="I71" s="78" t="s">
        <v>190</v>
      </c>
      <c r="J71" s="78" t="s">
        <v>193</v>
      </c>
      <c r="K71" s="78" t="s">
        <v>194</v>
      </c>
      <c r="L71" s="78" t="s">
        <v>195</v>
      </c>
      <c r="M71" s="78" t="s">
        <v>196</v>
      </c>
      <c r="N71" s="78" t="s">
        <v>197</v>
      </c>
      <c r="O71" s="78" t="s">
        <v>198</v>
      </c>
    </row>
    <row r="72" spans="1:15" x14ac:dyDescent="0.45">
      <c r="E72" s="79" t="s">
        <v>92</v>
      </c>
      <c r="F72" s="79" t="s">
        <v>41</v>
      </c>
      <c r="G72" s="80">
        <v>1</v>
      </c>
      <c r="I72" s="79" t="s">
        <v>32</v>
      </c>
      <c r="J72" s="83">
        <v>5</v>
      </c>
      <c r="K72" s="83">
        <v>3.5</v>
      </c>
      <c r="L72" s="80">
        <v>100</v>
      </c>
      <c r="M72" s="80">
        <v>3</v>
      </c>
      <c r="N72" s="84">
        <v>0.6</v>
      </c>
      <c r="O72" s="83">
        <v>0.5</v>
      </c>
    </row>
    <row r="73" spans="1:15" x14ac:dyDescent="0.45">
      <c r="E73" s="79" t="s">
        <v>93</v>
      </c>
      <c r="F73" s="79" t="s">
        <v>45</v>
      </c>
      <c r="G73" s="80">
        <v>2</v>
      </c>
      <c r="I73" s="81" t="s">
        <v>37</v>
      </c>
      <c r="J73" s="85">
        <v>1</v>
      </c>
      <c r="K73" s="85">
        <v>0.7</v>
      </c>
      <c r="L73" s="82">
        <v>100</v>
      </c>
      <c r="M73" s="82">
        <v>2</v>
      </c>
      <c r="N73" s="86">
        <v>0.2</v>
      </c>
      <c r="O73" s="85">
        <v>0.15</v>
      </c>
    </row>
    <row r="74" spans="1:15" x14ac:dyDescent="0.45">
      <c r="E74" s="79" t="s">
        <v>94</v>
      </c>
      <c r="F74" s="79" t="s">
        <v>32</v>
      </c>
      <c r="G74" s="80">
        <v>1</v>
      </c>
      <c r="I74" s="79" t="s">
        <v>41</v>
      </c>
      <c r="J74" s="83">
        <v>0.5</v>
      </c>
      <c r="K74" s="83">
        <v>0.35</v>
      </c>
      <c r="L74" s="80">
        <v>150</v>
      </c>
      <c r="M74" s="80">
        <v>3</v>
      </c>
      <c r="N74" s="84">
        <v>0.08</v>
      </c>
      <c r="O74" s="83">
        <v>0.05</v>
      </c>
    </row>
    <row r="75" spans="1:15" x14ac:dyDescent="0.45">
      <c r="I75" s="81" t="s">
        <v>45</v>
      </c>
      <c r="J75" s="85">
        <v>0.8</v>
      </c>
      <c r="K75" s="85">
        <v>0.55000000000000004</v>
      </c>
      <c r="L75" s="82">
        <v>100</v>
      </c>
      <c r="M75" s="82">
        <v>2</v>
      </c>
      <c r="N75" s="86">
        <v>0.16</v>
      </c>
      <c r="O75" s="85">
        <v>0.1</v>
      </c>
    </row>
    <row r="78" spans="1:15" ht="20" customHeight="1" x14ac:dyDescent="0.45">
      <c r="A78" s="76" t="s">
        <v>13</v>
      </c>
    </row>
    <row r="79" spans="1:15" x14ac:dyDescent="0.45">
      <c r="A79" s="102" t="s">
        <v>185</v>
      </c>
      <c r="B79" s="96"/>
      <c r="C79" s="96"/>
    </row>
    <row r="80" spans="1:15" x14ac:dyDescent="0.45">
      <c r="A80" s="78" t="s">
        <v>186</v>
      </c>
      <c r="B80" s="78" t="s">
        <v>187</v>
      </c>
      <c r="C80" s="78" t="s">
        <v>188</v>
      </c>
    </row>
    <row r="81" spans="1:15" x14ac:dyDescent="0.45">
      <c r="A81" s="79" t="s">
        <v>88</v>
      </c>
      <c r="B81" s="79" t="s">
        <v>92</v>
      </c>
      <c r="C81" s="80">
        <v>70</v>
      </c>
    </row>
    <row r="82" spans="1:15" x14ac:dyDescent="0.45">
      <c r="A82" s="81" t="s">
        <v>89</v>
      </c>
      <c r="B82" s="81" t="s">
        <v>92</v>
      </c>
      <c r="C82" s="82">
        <v>70</v>
      </c>
    </row>
    <row r="83" spans="1:15" x14ac:dyDescent="0.45">
      <c r="A83" s="79" t="s">
        <v>90</v>
      </c>
      <c r="B83" s="79" t="s">
        <v>92</v>
      </c>
      <c r="C83" s="80">
        <v>70</v>
      </c>
    </row>
    <row r="84" spans="1:15" x14ac:dyDescent="0.45">
      <c r="A84" s="81" t="s">
        <v>91</v>
      </c>
      <c r="B84" s="81" t="s">
        <v>92</v>
      </c>
      <c r="C84" s="82">
        <v>70</v>
      </c>
    </row>
    <row r="85" spans="1:15" x14ac:dyDescent="0.45">
      <c r="A85" s="79" t="s">
        <v>88</v>
      </c>
      <c r="B85" s="79" t="s">
        <v>93</v>
      </c>
      <c r="C85" s="80">
        <v>50</v>
      </c>
    </row>
    <row r="86" spans="1:15" x14ac:dyDescent="0.45">
      <c r="A86" s="81" t="s">
        <v>89</v>
      </c>
      <c r="B86" s="81" t="s">
        <v>93</v>
      </c>
      <c r="C86" s="82">
        <v>50</v>
      </c>
    </row>
    <row r="87" spans="1:15" x14ac:dyDescent="0.45">
      <c r="A87" s="79" t="s">
        <v>90</v>
      </c>
      <c r="B87" s="79" t="s">
        <v>93</v>
      </c>
      <c r="C87" s="80">
        <v>50</v>
      </c>
    </row>
    <row r="88" spans="1:15" x14ac:dyDescent="0.45">
      <c r="A88" s="81" t="s">
        <v>91</v>
      </c>
      <c r="B88" s="81" t="s">
        <v>93</v>
      </c>
      <c r="C88" s="82">
        <v>50</v>
      </c>
    </row>
    <row r="89" spans="1:15" x14ac:dyDescent="0.45">
      <c r="A89" s="79" t="s">
        <v>88</v>
      </c>
      <c r="B89" s="79" t="s">
        <v>94</v>
      </c>
      <c r="C89" s="80">
        <v>60</v>
      </c>
    </row>
    <row r="90" spans="1:15" x14ac:dyDescent="0.45">
      <c r="A90" s="81" t="s">
        <v>89</v>
      </c>
      <c r="B90" s="81" t="s">
        <v>94</v>
      </c>
      <c r="C90" s="82">
        <v>60</v>
      </c>
    </row>
    <row r="91" spans="1:15" x14ac:dyDescent="0.45">
      <c r="A91" s="79" t="s">
        <v>90</v>
      </c>
      <c r="B91" s="79" t="s">
        <v>94</v>
      </c>
      <c r="C91" s="80">
        <v>60</v>
      </c>
    </row>
    <row r="92" spans="1:15" x14ac:dyDescent="0.45">
      <c r="A92" s="81" t="s">
        <v>91</v>
      </c>
      <c r="B92" s="81" t="s">
        <v>94</v>
      </c>
      <c r="C92" s="82">
        <v>60</v>
      </c>
    </row>
    <row r="94" spans="1:15" x14ac:dyDescent="0.45">
      <c r="E94" s="102" t="s">
        <v>189</v>
      </c>
      <c r="F94" s="96"/>
      <c r="G94" s="96"/>
    </row>
    <row r="95" spans="1:15" x14ac:dyDescent="0.45">
      <c r="E95" s="78" t="s">
        <v>187</v>
      </c>
      <c r="F95" s="78" t="s">
        <v>190</v>
      </c>
      <c r="G95" s="78" t="s">
        <v>191</v>
      </c>
      <c r="I95" s="102" t="s">
        <v>192</v>
      </c>
      <c r="J95" s="96"/>
      <c r="K95" s="96"/>
      <c r="L95" s="96"/>
      <c r="M95" s="96"/>
      <c r="N95" s="96"/>
      <c r="O95" s="96"/>
    </row>
    <row r="96" spans="1:15" x14ac:dyDescent="0.45">
      <c r="E96" s="79" t="s">
        <v>92</v>
      </c>
      <c r="F96" s="79" t="s">
        <v>37</v>
      </c>
      <c r="G96" s="80">
        <v>1</v>
      </c>
      <c r="I96" s="78" t="s">
        <v>190</v>
      </c>
      <c r="J96" s="78" t="s">
        <v>193</v>
      </c>
      <c r="K96" s="78" t="s">
        <v>194</v>
      </c>
      <c r="L96" s="78" t="s">
        <v>195</v>
      </c>
      <c r="M96" s="78" t="s">
        <v>196</v>
      </c>
      <c r="N96" s="78" t="s">
        <v>197</v>
      </c>
      <c r="O96" s="78" t="s">
        <v>198</v>
      </c>
    </row>
    <row r="97" spans="1:15" x14ac:dyDescent="0.45">
      <c r="E97" s="79" t="s">
        <v>92</v>
      </c>
      <c r="F97" s="79" t="s">
        <v>41</v>
      </c>
      <c r="G97" s="80">
        <v>1</v>
      </c>
      <c r="I97" s="79" t="s">
        <v>32</v>
      </c>
      <c r="J97" s="83">
        <v>5</v>
      </c>
      <c r="K97" s="83">
        <v>4.5</v>
      </c>
      <c r="L97" s="80">
        <v>100</v>
      </c>
      <c r="M97" s="80">
        <v>2</v>
      </c>
      <c r="N97" s="84">
        <v>0.3</v>
      </c>
      <c r="O97" s="83">
        <v>1</v>
      </c>
    </row>
    <row r="98" spans="1:15" x14ac:dyDescent="0.45">
      <c r="E98" s="79" t="s">
        <v>93</v>
      </c>
      <c r="F98" s="79" t="s">
        <v>45</v>
      </c>
      <c r="G98" s="80">
        <v>2</v>
      </c>
      <c r="I98" s="81" t="s">
        <v>37</v>
      </c>
      <c r="J98" s="85">
        <v>1</v>
      </c>
      <c r="K98" s="85">
        <v>0.85</v>
      </c>
      <c r="L98" s="82">
        <v>60</v>
      </c>
      <c r="M98" s="82">
        <v>1</v>
      </c>
      <c r="N98" s="86">
        <v>0.05</v>
      </c>
      <c r="O98" s="85">
        <v>0.3</v>
      </c>
    </row>
    <row r="99" spans="1:15" x14ac:dyDescent="0.45">
      <c r="E99" s="79" t="s">
        <v>94</v>
      </c>
      <c r="F99" s="79" t="s">
        <v>32</v>
      </c>
      <c r="G99" s="80">
        <v>1</v>
      </c>
      <c r="I99" s="79" t="s">
        <v>41</v>
      </c>
      <c r="J99" s="83">
        <v>0.5</v>
      </c>
      <c r="K99" s="83">
        <v>0.44</v>
      </c>
      <c r="L99" s="80">
        <v>120</v>
      </c>
      <c r="M99" s="80">
        <v>2</v>
      </c>
      <c r="N99" s="84">
        <v>0.04</v>
      </c>
      <c r="O99" s="83">
        <v>0.1</v>
      </c>
    </row>
    <row r="100" spans="1:15" x14ac:dyDescent="0.45">
      <c r="I100" s="81" t="s">
        <v>45</v>
      </c>
      <c r="J100" s="85">
        <v>0.8</v>
      </c>
      <c r="K100" s="85">
        <v>0.74</v>
      </c>
      <c r="L100" s="82">
        <v>90</v>
      </c>
      <c r="M100" s="82">
        <v>1</v>
      </c>
      <c r="N100" s="86">
        <v>0.03</v>
      </c>
      <c r="O100" s="85">
        <v>0.2</v>
      </c>
    </row>
    <row r="103" spans="1:15" ht="20" customHeight="1" x14ac:dyDescent="0.45">
      <c r="A103" s="76" t="s">
        <v>16</v>
      </c>
    </row>
    <row r="104" spans="1:15" x14ac:dyDescent="0.45">
      <c r="A104" s="102" t="s">
        <v>185</v>
      </c>
      <c r="B104" s="96"/>
      <c r="C104" s="96"/>
    </row>
    <row r="105" spans="1:15" x14ac:dyDescent="0.45">
      <c r="A105" s="78" t="s">
        <v>186</v>
      </c>
      <c r="B105" s="78" t="s">
        <v>187</v>
      </c>
      <c r="C105" s="78" t="s">
        <v>188</v>
      </c>
    </row>
    <row r="106" spans="1:15" x14ac:dyDescent="0.45">
      <c r="A106" s="79" t="s">
        <v>88</v>
      </c>
      <c r="B106" s="79" t="s">
        <v>173</v>
      </c>
      <c r="C106" s="80">
        <v>80</v>
      </c>
    </row>
    <row r="107" spans="1:15" x14ac:dyDescent="0.45">
      <c r="A107" s="81" t="s">
        <v>89</v>
      </c>
      <c r="B107" s="81" t="s">
        <v>173</v>
      </c>
      <c r="C107" s="82">
        <v>95</v>
      </c>
    </row>
    <row r="108" spans="1:15" x14ac:dyDescent="0.45">
      <c r="A108" s="79" t="s">
        <v>90</v>
      </c>
      <c r="B108" s="79" t="s">
        <v>173</v>
      </c>
      <c r="C108" s="80">
        <v>70</v>
      </c>
    </row>
    <row r="109" spans="1:15" x14ac:dyDescent="0.45">
      <c r="A109" s="81" t="s">
        <v>91</v>
      </c>
      <c r="B109" s="81" t="s">
        <v>173</v>
      </c>
      <c r="C109" s="82">
        <v>110</v>
      </c>
    </row>
    <row r="110" spans="1:15" x14ac:dyDescent="0.45">
      <c r="A110" s="79" t="s">
        <v>88</v>
      </c>
      <c r="B110" s="79" t="s">
        <v>174</v>
      </c>
      <c r="C110" s="80">
        <v>70</v>
      </c>
    </row>
    <row r="111" spans="1:15" x14ac:dyDescent="0.45">
      <c r="A111" s="81" t="s">
        <v>89</v>
      </c>
      <c r="B111" s="81" t="s">
        <v>174</v>
      </c>
      <c r="C111" s="82">
        <v>80</v>
      </c>
    </row>
    <row r="112" spans="1:15" x14ac:dyDescent="0.45">
      <c r="A112" s="79" t="s">
        <v>90</v>
      </c>
      <c r="B112" s="79" t="s">
        <v>174</v>
      </c>
      <c r="C112" s="80">
        <v>90</v>
      </c>
    </row>
    <row r="113" spans="1:3" x14ac:dyDescent="0.45">
      <c r="A113" s="81" t="s">
        <v>91</v>
      </c>
      <c r="B113" s="81" t="s">
        <v>174</v>
      </c>
      <c r="C113" s="82">
        <v>85</v>
      </c>
    </row>
    <row r="114" spans="1:3" x14ac:dyDescent="0.45">
      <c r="A114" s="79" t="s">
        <v>88</v>
      </c>
      <c r="B114" s="79" t="s">
        <v>175</v>
      </c>
      <c r="C114" s="80">
        <v>60</v>
      </c>
    </row>
    <row r="115" spans="1:3" x14ac:dyDescent="0.45">
      <c r="A115" s="81" t="s">
        <v>89</v>
      </c>
      <c r="B115" s="81" t="s">
        <v>175</v>
      </c>
      <c r="C115" s="82">
        <v>75</v>
      </c>
    </row>
    <row r="116" spans="1:3" x14ac:dyDescent="0.45">
      <c r="A116" s="79" t="s">
        <v>90</v>
      </c>
      <c r="B116" s="79" t="s">
        <v>175</v>
      </c>
      <c r="C116" s="80">
        <v>65</v>
      </c>
    </row>
    <row r="117" spans="1:3" x14ac:dyDescent="0.45">
      <c r="A117" s="81" t="s">
        <v>91</v>
      </c>
      <c r="B117" s="81" t="s">
        <v>175</v>
      </c>
      <c r="C117" s="82">
        <v>80</v>
      </c>
    </row>
    <row r="118" spans="1:3" x14ac:dyDescent="0.45">
      <c r="A118" s="79" t="s">
        <v>88</v>
      </c>
      <c r="B118" s="79" t="s">
        <v>176</v>
      </c>
      <c r="C118" s="80">
        <v>55</v>
      </c>
    </row>
    <row r="119" spans="1:3" x14ac:dyDescent="0.45">
      <c r="A119" s="81" t="s">
        <v>89</v>
      </c>
      <c r="B119" s="81" t="s">
        <v>176</v>
      </c>
      <c r="C119" s="82">
        <v>60</v>
      </c>
    </row>
    <row r="120" spans="1:3" x14ac:dyDescent="0.45">
      <c r="A120" s="79" t="s">
        <v>90</v>
      </c>
      <c r="B120" s="79" t="s">
        <v>176</v>
      </c>
      <c r="C120" s="80">
        <v>70</v>
      </c>
    </row>
    <row r="121" spans="1:3" x14ac:dyDescent="0.45">
      <c r="A121" s="81" t="s">
        <v>91</v>
      </c>
      <c r="B121" s="81" t="s">
        <v>176</v>
      </c>
      <c r="C121" s="82">
        <v>65</v>
      </c>
    </row>
    <row r="122" spans="1:3" x14ac:dyDescent="0.45">
      <c r="A122" s="79" t="s">
        <v>88</v>
      </c>
      <c r="B122" s="79" t="s">
        <v>177</v>
      </c>
      <c r="C122" s="80">
        <v>90</v>
      </c>
    </row>
    <row r="123" spans="1:3" x14ac:dyDescent="0.45">
      <c r="A123" s="81" t="s">
        <v>89</v>
      </c>
      <c r="B123" s="81" t="s">
        <v>177</v>
      </c>
      <c r="C123" s="82">
        <v>85</v>
      </c>
    </row>
    <row r="124" spans="1:3" x14ac:dyDescent="0.45">
      <c r="A124" s="79" t="s">
        <v>90</v>
      </c>
      <c r="B124" s="79" t="s">
        <v>177</v>
      </c>
      <c r="C124" s="80">
        <v>95</v>
      </c>
    </row>
    <row r="125" spans="1:3" x14ac:dyDescent="0.45">
      <c r="A125" s="81" t="s">
        <v>91</v>
      </c>
      <c r="B125" s="81" t="s">
        <v>177</v>
      </c>
      <c r="C125" s="82">
        <v>100</v>
      </c>
    </row>
    <row r="126" spans="1:3" x14ac:dyDescent="0.45">
      <c r="A126" s="79" t="s">
        <v>88</v>
      </c>
      <c r="B126" s="79" t="s">
        <v>178</v>
      </c>
      <c r="C126" s="80">
        <v>75</v>
      </c>
    </row>
    <row r="127" spans="1:3" x14ac:dyDescent="0.45">
      <c r="A127" s="81" t="s">
        <v>89</v>
      </c>
      <c r="B127" s="81" t="s">
        <v>178</v>
      </c>
      <c r="C127" s="82">
        <v>80</v>
      </c>
    </row>
    <row r="128" spans="1:3" x14ac:dyDescent="0.45">
      <c r="A128" s="79" t="s">
        <v>90</v>
      </c>
      <c r="B128" s="79" t="s">
        <v>178</v>
      </c>
      <c r="C128" s="80">
        <v>85</v>
      </c>
    </row>
    <row r="129" spans="1:15" x14ac:dyDescent="0.45">
      <c r="A129" s="81" t="s">
        <v>91</v>
      </c>
      <c r="B129" s="81" t="s">
        <v>178</v>
      </c>
      <c r="C129" s="82">
        <v>90</v>
      </c>
    </row>
    <row r="131" spans="1:15" x14ac:dyDescent="0.45">
      <c r="E131" s="102" t="s">
        <v>189</v>
      </c>
      <c r="F131" s="96"/>
      <c r="G131" s="96"/>
    </row>
    <row r="132" spans="1:15" x14ac:dyDescent="0.45">
      <c r="E132" s="78" t="s">
        <v>187</v>
      </c>
      <c r="F132" s="78" t="s">
        <v>190</v>
      </c>
      <c r="G132" s="78" t="s">
        <v>191</v>
      </c>
      <c r="I132" s="102" t="s">
        <v>192</v>
      </c>
      <c r="J132" s="96"/>
      <c r="K132" s="96"/>
      <c r="L132" s="96"/>
      <c r="M132" s="96"/>
      <c r="N132" s="96"/>
      <c r="O132" s="96"/>
    </row>
    <row r="133" spans="1:15" x14ac:dyDescent="0.45">
      <c r="E133" s="79" t="s">
        <v>173</v>
      </c>
      <c r="F133" s="79" t="s">
        <v>37</v>
      </c>
      <c r="G133" s="80">
        <v>2</v>
      </c>
      <c r="I133" s="78" t="s">
        <v>190</v>
      </c>
      <c r="J133" s="78" t="s">
        <v>193</v>
      </c>
      <c r="K133" s="78" t="s">
        <v>194</v>
      </c>
      <c r="L133" s="78" t="s">
        <v>195</v>
      </c>
      <c r="M133" s="78" t="s">
        <v>196</v>
      </c>
      <c r="N133" s="78" t="s">
        <v>197</v>
      </c>
      <c r="O133" s="78" t="s">
        <v>198</v>
      </c>
    </row>
    <row r="134" spans="1:15" x14ac:dyDescent="0.45">
      <c r="E134" s="79" t="s">
        <v>173</v>
      </c>
      <c r="F134" s="79" t="s">
        <v>45</v>
      </c>
      <c r="G134" s="80">
        <v>1</v>
      </c>
      <c r="I134" s="79" t="s">
        <v>67</v>
      </c>
      <c r="J134" s="83">
        <v>4.5</v>
      </c>
      <c r="K134" s="83">
        <v>3.85</v>
      </c>
      <c r="L134" s="80">
        <v>200</v>
      </c>
      <c r="M134" s="80">
        <v>2</v>
      </c>
      <c r="N134" s="84">
        <v>0.4</v>
      </c>
      <c r="O134" s="83">
        <v>1.2</v>
      </c>
    </row>
    <row r="135" spans="1:15" x14ac:dyDescent="0.45">
      <c r="E135" s="79" t="s">
        <v>173</v>
      </c>
      <c r="F135" s="79" t="s">
        <v>41</v>
      </c>
      <c r="G135" s="80">
        <v>1</v>
      </c>
      <c r="I135" s="81" t="s">
        <v>71</v>
      </c>
      <c r="J135" s="85">
        <v>6</v>
      </c>
      <c r="K135" s="85">
        <v>5.0999999999999996</v>
      </c>
      <c r="L135" s="82">
        <v>150</v>
      </c>
      <c r="M135" s="82">
        <v>2</v>
      </c>
      <c r="N135" s="86">
        <v>0.5</v>
      </c>
      <c r="O135" s="85">
        <v>1.8</v>
      </c>
    </row>
    <row r="136" spans="1:15" x14ac:dyDescent="0.45">
      <c r="E136" s="79" t="s">
        <v>174</v>
      </c>
      <c r="F136" s="79" t="s">
        <v>67</v>
      </c>
      <c r="G136" s="80">
        <v>1</v>
      </c>
      <c r="I136" s="79" t="s">
        <v>37</v>
      </c>
      <c r="J136" s="83">
        <v>1</v>
      </c>
      <c r="K136" s="83">
        <v>0.82</v>
      </c>
      <c r="L136" s="80">
        <v>300</v>
      </c>
      <c r="M136" s="80">
        <v>1</v>
      </c>
      <c r="N136" s="84">
        <v>0.04</v>
      </c>
      <c r="O136" s="83">
        <v>0.25</v>
      </c>
    </row>
    <row r="137" spans="1:15" x14ac:dyDescent="0.45">
      <c r="E137" s="79" t="s">
        <v>174</v>
      </c>
      <c r="F137" s="79" t="s">
        <v>45</v>
      </c>
      <c r="G137" s="80">
        <v>2</v>
      </c>
      <c r="I137" s="81" t="s">
        <v>45</v>
      </c>
      <c r="J137" s="85">
        <v>0.8</v>
      </c>
      <c r="K137" s="85">
        <v>0.66</v>
      </c>
      <c r="L137" s="82">
        <v>280</v>
      </c>
      <c r="M137" s="82">
        <v>1</v>
      </c>
      <c r="N137" s="86">
        <v>0.03</v>
      </c>
      <c r="O137" s="85">
        <v>0.18</v>
      </c>
    </row>
    <row r="138" spans="1:15" x14ac:dyDescent="0.45">
      <c r="E138" s="79" t="s">
        <v>174</v>
      </c>
      <c r="F138" s="79" t="s">
        <v>80</v>
      </c>
      <c r="G138" s="80">
        <v>1</v>
      </c>
      <c r="I138" s="79" t="s">
        <v>41</v>
      </c>
      <c r="J138" s="83">
        <v>0.5</v>
      </c>
      <c r="K138" s="83">
        <v>0.42</v>
      </c>
      <c r="L138" s="80">
        <v>400</v>
      </c>
      <c r="M138" s="80">
        <v>2</v>
      </c>
      <c r="N138" s="84">
        <v>0.05</v>
      </c>
      <c r="O138" s="83">
        <v>0.08</v>
      </c>
    </row>
    <row r="139" spans="1:15" x14ac:dyDescent="0.45">
      <c r="E139" s="79" t="s">
        <v>175</v>
      </c>
      <c r="F139" s="79" t="s">
        <v>71</v>
      </c>
      <c r="G139" s="80">
        <v>1</v>
      </c>
      <c r="I139" s="81" t="s">
        <v>80</v>
      </c>
      <c r="J139" s="85">
        <v>0.3</v>
      </c>
      <c r="K139" s="85">
        <v>0.24</v>
      </c>
      <c r="L139" s="82">
        <v>500</v>
      </c>
      <c r="M139" s="82">
        <v>3</v>
      </c>
      <c r="N139" s="86">
        <v>0.03</v>
      </c>
      <c r="O139" s="85">
        <v>0.05</v>
      </c>
    </row>
    <row r="140" spans="1:15" x14ac:dyDescent="0.45">
      <c r="E140" s="79" t="s">
        <v>175</v>
      </c>
      <c r="F140" s="79" t="s">
        <v>37</v>
      </c>
      <c r="G140" s="80">
        <v>1</v>
      </c>
    </row>
    <row r="141" spans="1:15" x14ac:dyDescent="0.45">
      <c r="E141" s="79" t="s">
        <v>176</v>
      </c>
      <c r="F141" s="79" t="s">
        <v>67</v>
      </c>
      <c r="G141" s="80">
        <v>1</v>
      </c>
    </row>
    <row r="142" spans="1:15" x14ac:dyDescent="0.45">
      <c r="E142" s="79" t="s">
        <v>176</v>
      </c>
      <c r="F142" s="79" t="s">
        <v>37</v>
      </c>
      <c r="G142" s="80">
        <v>1</v>
      </c>
    </row>
    <row r="143" spans="1:15" x14ac:dyDescent="0.45">
      <c r="E143" s="79" t="s">
        <v>176</v>
      </c>
      <c r="F143" s="79" t="s">
        <v>45</v>
      </c>
      <c r="G143" s="80">
        <v>1</v>
      </c>
    </row>
    <row r="144" spans="1:15" x14ac:dyDescent="0.45">
      <c r="E144" s="79" t="s">
        <v>177</v>
      </c>
      <c r="F144" s="79" t="s">
        <v>71</v>
      </c>
      <c r="G144" s="80">
        <v>1</v>
      </c>
    </row>
    <row r="145" spans="5:7" x14ac:dyDescent="0.45">
      <c r="E145" s="79" t="s">
        <v>177</v>
      </c>
      <c r="F145" s="79" t="s">
        <v>41</v>
      </c>
      <c r="G145" s="80">
        <v>1</v>
      </c>
    </row>
    <row r="146" spans="5:7" x14ac:dyDescent="0.45">
      <c r="E146" s="79" t="s">
        <v>178</v>
      </c>
      <c r="F146" s="79" t="s">
        <v>67</v>
      </c>
      <c r="G146" s="80">
        <v>1</v>
      </c>
    </row>
    <row r="147" spans="5:7" x14ac:dyDescent="0.45">
      <c r="E147" s="79" t="s">
        <v>178</v>
      </c>
      <c r="F147" s="79" t="s">
        <v>41</v>
      </c>
      <c r="G147" s="80">
        <v>1</v>
      </c>
    </row>
    <row r="148" spans="5:7" x14ac:dyDescent="0.45">
      <c r="E148" s="79" t="s">
        <v>178</v>
      </c>
      <c r="F148" s="79" t="s">
        <v>80</v>
      </c>
      <c r="G148" s="80">
        <v>2</v>
      </c>
    </row>
  </sheetData>
  <mergeCells count="16">
    <mergeCell ref="I132:O132"/>
    <mergeCell ref="E19:G19"/>
    <mergeCell ref="I70:O70"/>
    <mergeCell ref="A79:C79"/>
    <mergeCell ref="E69:G69"/>
    <mergeCell ref="A104:C104"/>
    <mergeCell ref="A1:O1"/>
    <mergeCell ref="E131:G131"/>
    <mergeCell ref="I20:O20"/>
    <mergeCell ref="I95:O95"/>
    <mergeCell ref="E44:G44"/>
    <mergeCell ref="A29:C29"/>
    <mergeCell ref="A4:C4"/>
    <mergeCell ref="A54:C54"/>
    <mergeCell ref="E94:G94"/>
    <mergeCell ref="I45:O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4252-7ABE-4241-9124-6A3AA9101593}">
  <dimension ref="A1:Z100"/>
  <sheetViews>
    <sheetView tabSelected="1" workbookViewId="0">
      <selection activeCell="G11" sqref="G11"/>
    </sheetView>
  </sheetViews>
  <sheetFormatPr defaultColWidth="14.3984375" defaultRowHeight="14.25" x14ac:dyDescent="0.45"/>
  <cols>
    <col min="1" max="1" width="22" customWidth="1"/>
    <col min="2" max="5" width="13" customWidth="1"/>
    <col min="6" max="11" width="16" customWidth="1"/>
    <col min="12" max="12" width="14" customWidth="1"/>
    <col min="13" max="26" width="16" customWidth="1"/>
  </cols>
  <sheetData>
    <row r="1" spans="1:26" ht="24" customHeight="1" x14ac:dyDescent="0.45">
      <c r="A1" s="103" t="s">
        <v>200</v>
      </c>
      <c r="B1" s="96"/>
      <c r="C1" s="96"/>
      <c r="D1" s="96"/>
      <c r="E1" s="96"/>
      <c r="F1" s="96"/>
      <c r="G1" s="96"/>
      <c r="H1" s="96"/>
      <c r="I1" s="96"/>
      <c r="J1" s="96"/>
      <c r="Z1">
        <f>MATCH($B$2,$Z$2:$Z$6,0)</f>
        <v>1</v>
      </c>
    </row>
    <row r="2" spans="1:26" ht="27.75" x14ac:dyDescent="0.45">
      <c r="A2" s="87" t="s">
        <v>1</v>
      </c>
      <c r="B2" s="87" t="s">
        <v>4</v>
      </c>
      <c r="C2" s="87"/>
      <c r="D2" s="87"/>
      <c r="E2" s="87"/>
      <c r="F2" s="87"/>
      <c r="G2" s="87"/>
      <c r="H2" s="87"/>
      <c r="I2" s="87"/>
      <c r="J2" s="87"/>
      <c r="Z2" t="s">
        <v>4</v>
      </c>
    </row>
    <row r="3" spans="1:26" x14ac:dyDescent="0.45">
      <c r="A3" s="87"/>
      <c r="B3" s="87"/>
      <c r="C3" s="87"/>
      <c r="D3" s="87"/>
      <c r="E3" s="87"/>
      <c r="F3" s="87"/>
      <c r="G3" s="87"/>
      <c r="H3" s="87"/>
      <c r="I3" s="87"/>
      <c r="J3" s="87"/>
      <c r="Z3" t="s">
        <v>7</v>
      </c>
    </row>
    <row r="4" spans="1:26" x14ac:dyDescent="0.45">
      <c r="A4" s="104" t="s">
        <v>201</v>
      </c>
      <c r="B4" s="96"/>
      <c r="C4" s="96"/>
      <c r="D4" s="96"/>
      <c r="E4" s="96"/>
      <c r="F4" s="87"/>
      <c r="G4" s="87"/>
      <c r="H4" s="87"/>
      <c r="I4" s="87"/>
      <c r="J4" s="87"/>
      <c r="Z4" t="s">
        <v>10</v>
      </c>
    </row>
    <row r="5" spans="1:26" x14ac:dyDescent="0.45">
      <c r="A5" s="88" t="s">
        <v>87</v>
      </c>
      <c r="B5" s="88" t="s">
        <v>88</v>
      </c>
      <c r="C5" s="88" t="s">
        <v>89</v>
      </c>
      <c r="D5" s="88" t="s">
        <v>90</v>
      </c>
      <c r="E5" s="88" t="s">
        <v>91</v>
      </c>
      <c r="F5" s="87"/>
      <c r="G5" s="87"/>
      <c r="H5" s="87"/>
      <c r="I5" s="87"/>
      <c r="J5" s="87"/>
      <c r="Z5" t="s">
        <v>13</v>
      </c>
    </row>
    <row r="6" spans="1:26" x14ac:dyDescent="0.45">
      <c r="A6" s="87" t="str">
        <f>IF(CHOOSE($Z$1,'[1]Instance 1 (Base)'!A6,'[1]Instance 2 (No Discount)'!A6,'[1]Instance 3 (Carryover)'!A6,'[1]Instance 4 (Sensitivity)'!A6,'[1]Instance 5 (Large)'!A6)="","",CHOOSE($Z$1,'[1]Instance 1 (Base)'!A6,'[1]Instance 2 (No Discount)'!A6,'[1]Instance 3 (Carryover)'!A6,'[1]Instance 4 (Sensitivity)'!A6,'[1]Instance 5 (Large)'!A6))</f>
        <v>Dish</v>
      </c>
      <c r="B6" s="89" t="str">
        <f>IF($A6="","",CHOOSE($Z$1,'[1]Instance 1 (Base)'!B6,'[1]Instance 2 (No Discount)'!B6,'[1]Instance 3 (Carryover)'!B6,'[1]Instance 4 (Sensitivity)'!B6,'[1]Instance 5 (Large)'!B6))</f>
        <v>Week 1</v>
      </c>
      <c r="C6" s="89" t="str">
        <f>IF($A6="","",CHOOSE($Z$1,'[1]Instance 1 (Base)'!C6,'[1]Instance 2 (No Discount)'!C6,'[1]Instance 3 (Carryover)'!C6,'[1]Instance 4 (Sensitivity)'!C6,'[1]Instance 5 (Large)'!C6))</f>
        <v>Week 2</v>
      </c>
      <c r="D6" s="89" t="str">
        <f>IF($A6="","",CHOOSE($Z$1,'[1]Instance 1 (Base)'!D6,'[1]Instance 2 (No Discount)'!D6,'[1]Instance 3 (Carryover)'!D6,'[1]Instance 4 (Sensitivity)'!D6,'[1]Instance 5 (Large)'!D6))</f>
        <v>Week 3</v>
      </c>
      <c r="E6" s="89" t="str">
        <f>IF($A6="","",CHOOSE($Z$1,'[1]Instance 1 (Base)'!E6,'[1]Instance 2 (No Discount)'!E6,'[1]Instance 3 (Carryover)'!E6,'[1]Instance 4 (Sensitivity)'!E6,'[1]Instance 5 (Large)'!E6))</f>
        <v>Week 4</v>
      </c>
      <c r="F6" s="87"/>
      <c r="G6" s="87"/>
      <c r="H6" s="87"/>
      <c r="I6" s="87"/>
      <c r="J6" s="87"/>
      <c r="Z6" t="s">
        <v>16</v>
      </c>
    </row>
    <row r="7" spans="1:26" x14ac:dyDescent="0.45">
      <c r="A7" s="87" t="str">
        <f>IF(CHOOSE($Z$1,'[1]Instance 1 (Base)'!A7,'[1]Instance 2 (No Discount)'!A7,'[1]Instance 3 (Carryover)'!A7,'[1]Instance 4 (Sensitivity)'!A7,'[1]Instance 5 (Large)'!A7)="","",CHOOSE($Z$1,'[1]Instance 1 (Base)'!A7,'[1]Instance 2 (No Discount)'!A7,'[1]Instance 3 (Carryover)'!A7,'[1]Instance 4 (Sensitivity)'!A7,'[1]Instance 5 (Large)'!A7))</f>
        <v>D1 (Tomato-Egg)</v>
      </c>
      <c r="B7" s="89">
        <f>IF($A7="","",CHOOSE($Z$1,'[1]Instance 1 (Base)'!B7,'[1]Instance 2 (No Discount)'!B7,'[1]Instance 3 (Carryover)'!B7,'[1]Instance 4 (Sensitivity)'!B7,'[1]Instance 5 (Large)'!B7))</f>
        <v>80</v>
      </c>
      <c r="C7" s="89">
        <f>IF($A7="","",CHOOSE($Z$1,'[1]Instance 1 (Base)'!C7,'[1]Instance 2 (No Discount)'!C7,'[1]Instance 3 (Carryover)'!C7,'[1]Instance 4 (Sensitivity)'!C7,'[1]Instance 5 (Large)'!C7))</f>
        <v>90</v>
      </c>
      <c r="D7" s="89">
        <f>IF($A7="","",CHOOSE($Z$1,'[1]Instance 1 (Base)'!D7,'[1]Instance 2 (No Discount)'!D7,'[1]Instance 3 (Carryover)'!D7,'[1]Instance 4 (Sensitivity)'!D7,'[1]Instance 5 (Large)'!D7))</f>
        <v>70</v>
      </c>
      <c r="E7" s="89">
        <f>IF($A7="","",CHOOSE($Z$1,'[1]Instance 1 (Base)'!E7,'[1]Instance 2 (No Discount)'!E7,'[1]Instance 3 (Carryover)'!E7,'[1]Instance 4 (Sensitivity)'!E7,'[1]Instance 5 (Large)'!E7))</f>
        <v>100</v>
      </c>
      <c r="F7" s="87"/>
      <c r="G7" s="87"/>
      <c r="H7" s="87"/>
      <c r="I7" s="87"/>
      <c r="J7" s="87"/>
    </row>
    <row r="8" spans="1:26" x14ac:dyDescent="0.45">
      <c r="A8" s="87" t="str">
        <f>IF(CHOOSE($Z$1,'[1]Instance 1 (Base)'!A8,'[1]Instance 2 (No Discount)'!A8,'[1]Instance 3 (Carryover)'!A8,'[1]Instance 4 (Sensitivity)'!A8,'[1]Instance 5 (Large)'!A8)="","",CHOOSE($Z$1,'[1]Instance 1 (Base)'!A8,'[1]Instance 2 (No Discount)'!A8,'[1]Instance 3 (Carryover)'!A8,'[1]Instance 4 (Sensitivity)'!A8,'[1]Instance 5 (Large)'!A8))</f>
        <v>D2 (Spinach)</v>
      </c>
      <c r="B8" s="89">
        <f>IF($A8="","",CHOOSE($Z$1,'[1]Instance 1 (Base)'!B8,'[1]Instance 2 (No Discount)'!B8,'[1]Instance 3 (Carryover)'!B8,'[1]Instance 4 (Sensitivity)'!B8,'[1]Instance 5 (Large)'!B8))</f>
        <v>60</v>
      </c>
      <c r="C8" s="89">
        <f>IF($A8="","",CHOOSE($Z$1,'[1]Instance 1 (Base)'!C8,'[1]Instance 2 (No Discount)'!C8,'[1]Instance 3 (Carryover)'!C8,'[1]Instance 4 (Sensitivity)'!C8,'[1]Instance 5 (Large)'!C8))</f>
        <v>80</v>
      </c>
      <c r="D8" s="89">
        <f>IF($A8="","",CHOOSE($Z$1,'[1]Instance 1 (Base)'!D8,'[1]Instance 2 (No Discount)'!D8,'[1]Instance 3 (Carryover)'!D8,'[1]Instance 4 (Sensitivity)'!D8,'[1]Instance 5 (Large)'!D8))</f>
        <v>90</v>
      </c>
      <c r="E8" s="89">
        <f>IF($A8="","",CHOOSE($Z$1,'[1]Instance 1 (Base)'!E8,'[1]Instance 2 (No Discount)'!E8,'[1]Instance 3 (Carryover)'!E8,'[1]Instance 4 (Sensitivity)'!E8,'[1]Instance 5 (Large)'!E8))</f>
        <v>70</v>
      </c>
      <c r="F8" s="87"/>
      <c r="G8" s="87"/>
      <c r="H8" s="87"/>
      <c r="I8" s="87"/>
      <c r="J8" s="87"/>
    </row>
    <row r="9" spans="1:26" x14ac:dyDescent="0.45">
      <c r="A9" s="87" t="str">
        <f>IF(CHOOSE($Z$1,"","","","",'[1]Instance 5 (Large)'!A9)="","",CHOOSE($Z$1,"","","","",'[1]Instance 5 (Large)'!A9))</f>
        <v/>
      </c>
      <c r="B9" s="89" t="str">
        <f>IF($A9="","",CHOOSE($Z$1,"","","","",'[1]Instance 5 (Large)'!B9))</f>
        <v/>
      </c>
      <c r="C9" s="89" t="str">
        <f>IF($A9="","",CHOOSE($Z$1,"","","","",'[1]Instance 5 (Large)'!C9))</f>
        <v/>
      </c>
      <c r="D9" s="89" t="str">
        <f>IF($A9="","",CHOOSE($Z$1,"","","","",'[1]Instance 5 (Large)'!D9))</f>
        <v/>
      </c>
      <c r="E9" s="89" t="str">
        <f>IF($A9="","",CHOOSE($Z$1,"","","","",'[1]Instance 5 (Large)'!E9))</f>
        <v/>
      </c>
      <c r="F9" s="87"/>
      <c r="G9" s="87"/>
      <c r="H9" s="87"/>
      <c r="I9" s="87"/>
      <c r="J9" s="87"/>
    </row>
    <row r="10" spans="1:26" x14ac:dyDescent="0.45">
      <c r="A10" s="87" t="str">
        <f>IF(CHOOSE($Z$1,"","","","",'[1]Instance 5 (Large)'!A10)="","",CHOOSE($Z$1,"","","","",'[1]Instance 5 (Large)'!A10))</f>
        <v/>
      </c>
      <c r="B10" s="89" t="str">
        <f>IF($A10="","",CHOOSE($Z$1,"","","","",'[1]Instance 5 (Large)'!B10))</f>
        <v/>
      </c>
      <c r="C10" s="89" t="str">
        <f>IF($A10="","",CHOOSE($Z$1,"","","","",'[1]Instance 5 (Large)'!C10))</f>
        <v/>
      </c>
      <c r="D10" s="89" t="str">
        <f>IF($A10="","",CHOOSE($Z$1,"","","","",'[1]Instance 5 (Large)'!D10))</f>
        <v/>
      </c>
      <c r="E10" s="89" t="str">
        <f>IF($A10="","",CHOOSE($Z$1,"","","","",'[1]Instance 5 (Large)'!E10))</f>
        <v/>
      </c>
      <c r="F10" s="87"/>
      <c r="G10" s="87"/>
      <c r="H10" s="87"/>
      <c r="I10" s="87"/>
      <c r="J10" s="87"/>
    </row>
    <row r="11" spans="1:26" x14ac:dyDescent="0.45">
      <c r="A11" s="87" t="str">
        <f>IF(CHOOSE($Z$1,"","","","",'[1]Instance 5 (Large)'!A11)="","",CHOOSE($Z$1,"","","","",'[1]Instance 5 (Large)'!A11))</f>
        <v/>
      </c>
      <c r="B11" s="89" t="str">
        <f>IF($A11="","",CHOOSE($Z$1,"","","","",'[1]Instance 5 (Large)'!B11))</f>
        <v/>
      </c>
      <c r="C11" s="89" t="str">
        <f>IF($A11="","",CHOOSE($Z$1,"","","","",'[1]Instance 5 (Large)'!C11))</f>
        <v/>
      </c>
      <c r="D11" s="89" t="str">
        <f>IF($A11="","",CHOOSE($Z$1,"","","","",'[1]Instance 5 (Large)'!D11))</f>
        <v/>
      </c>
      <c r="E11" s="89" t="str">
        <f>IF($A11="","",CHOOSE($Z$1,"","","","",'[1]Instance 5 (Large)'!E11))</f>
        <v/>
      </c>
      <c r="F11" s="87"/>
      <c r="G11" s="87"/>
      <c r="H11" s="87"/>
      <c r="I11" s="87"/>
      <c r="J11" s="87"/>
    </row>
    <row r="12" spans="1:26" x14ac:dyDescent="0.45">
      <c r="A12" s="87"/>
      <c r="B12" s="87"/>
      <c r="C12" s="87"/>
      <c r="D12" s="87"/>
      <c r="E12" s="87"/>
      <c r="F12" s="87"/>
      <c r="G12" s="87"/>
      <c r="H12" s="87"/>
      <c r="I12" s="87"/>
      <c r="J12" s="87"/>
    </row>
    <row r="13" spans="1:26" x14ac:dyDescent="0.45">
      <c r="A13" s="104" t="s">
        <v>202</v>
      </c>
      <c r="B13" s="96"/>
      <c r="C13" s="96"/>
      <c r="D13" s="96"/>
      <c r="E13" s="96"/>
      <c r="F13" s="96"/>
      <c r="G13" s="96"/>
      <c r="H13" s="87"/>
      <c r="I13" s="87"/>
      <c r="J13" s="87"/>
    </row>
    <row r="14" spans="1:26" x14ac:dyDescent="0.45">
      <c r="A14" s="88" t="str">
        <f>"Dish \ Ingredient"</f>
        <v>Dish \ Ingredient</v>
      </c>
      <c r="B14" s="88" t="str">
        <f>IF(CHOOSE($Z$1,'[1]Instance 1 (Base)'!B11,'[1]Instance 2 (No Discount)'!B11,'[1]Instance 3 (Carryover)'!B11,'[1]Instance 4 (Sensitivity)'!B11,'[1]Instance 5 (Large)'!B14)="","",CHOOSE($Z$1,'[1]Instance 1 (Base)'!B11,'[1]Instance 2 (No Discount)'!B11,'[1]Instance 3 (Carryover)'!B11,'[1]Instance 4 (Sensitivity)'!B11,'[1]Instance 5 (Large)'!B14))</f>
        <v/>
      </c>
      <c r="C14" s="88" t="str">
        <f>IF(CHOOSE($Z$1,'[1]Instance 1 (Base)'!C11,'[1]Instance 2 (No Discount)'!C11,'[1]Instance 3 (Carryover)'!C11,'[1]Instance 4 (Sensitivity)'!C11,'[1]Instance 5 (Large)'!C14)="","",CHOOSE($Z$1,'[1]Instance 1 (Base)'!C11,'[1]Instance 2 (No Discount)'!C11,'[1]Instance 3 (Carryover)'!C11,'[1]Instance 4 (Sensitivity)'!C11,'[1]Instance 5 (Large)'!C14))</f>
        <v/>
      </c>
      <c r="D14" s="88" t="str">
        <f>IF(CHOOSE($Z$1,'[1]Instance 1 (Base)'!D11,'[1]Instance 2 (No Discount)'!D11,'[1]Instance 3 (Carryover)'!D11,'[1]Instance 4 (Sensitivity)'!D11,'[1]Instance 5 (Large)'!D14)="","",CHOOSE($Z$1,'[1]Instance 1 (Base)'!D11,'[1]Instance 2 (No Discount)'!D11,'[1]Instance 3 (Carryover)'!D11,'[1]Instance 4 (Sensitivity)'!D11,'[1]Instance 5 (Large)'!D14))</f>
        <v/>
      </c>
      <c r="E14" s="88" t="str">
        <f>IF(CHOOSE($Z$1,'[1]Instance 1 (Base)'!E11,'[1]Instance 2 (No Discount)'!E11,'[1]Instance 3 (Carryover)'!E11,'[1]Instance 4 (Sensitivity)'!E11,'[1]Instance 5 (Large)'!E14)="","",CHOOSE($Z$1,'[1]Instance 1 (Base)'!E11,'[1]Instance 2 (No Discount)'!E11,'[1]Instance 3 (Carryover)'!E11,'[1]Instance 4 (Sensitivity)'!E11,'[1]Instance 5 (Large)'!E14))</f>
        <v/>
      </c>
      <c r="F14" s="88" t="str">
        <f>IF(CHOOSE($Z$1,'[1]Instance 1 (Base)'!F11,'[1]Instance 2 (No Discount)'!F11,'[1]Instance 3 (Carryover)'!F11,'[1]Instance 4 (Sensitivity)'!F11,'[1]Instance 5 (Large)'!F14)="","",CHOOSE($Z$1,'[1]Instance 1 (Base)'!F11,'[1]Instance 2 (No Discount)'!F11,'[1]Instance 3 (Carryover)'!F11,'[1]Instance 4 (Sensitivity)'!F11,'[1]Instance 5 (Large)'!F14))</f>
        <v/>
      </c>
      <c r="G14" s="88" t="str">
        <f>IF(CHOOSE($Z$1,'[1]Instance 1 (Base)'!G11,'[1]Instance 2 (No Discount)'!G11,'[1]Instance 3 (Carryover)'!G11,'[1]Instance 4 (Sensitivity)'!G11,'[1]Instance 5 (Large)'!G14)="","",CHOOSE($Z$1,'[1]Instance 1 (Base)'!G11,'[1]Instance 2 (No Discount)'!G11,'[1]Instance 3 (Carryover)'!G11,'[1]Instance 4 (Sensitivity)'!G11,'[1]Instance 5 (Large)'!G14))</f>
        <v/>
      </c>
      <c r="H14" s="87"/>
      <c r="I14" s="87"/>
      <c r="J14" s="87"/>
    </row>
    <row r="15" spans="1:26" x14ac:dyDescent="0.45">
      <c r="A15" s="87" t="str">
        <f>IF(CHOOSE($Z$1,'[1]Instance 1 (Base)'!A12,'[1]Instance 2 (No Discount)'!A12,'[1]Instance 3 (Carryover)'!A12,'[1]Instance 4 (Sensitivity)'!A12,'[1]Instance 5 (Large)'!A15)="","",CHOOSE($Z$1,'[1]Instance 1 (Base)'!A12,'[1]Instance 2 (No Discount)'!A12,'[1]Instance 3 (Carryover)'!A12,'[1]Instance 4 (Sensitivity)'!A12,'[1]Instance 5 (Large)'!A15))</f>
        <v>Dish \ Ingredient</v>
      </c>
      <c r="B15" s="90" t="str">
        <f>IF(OR($A15="",B$14=""),"",CHOOSE($Z$1,'[1]Instance 1 (Base)'!B12,'[1]Instance 2 (No Discount)'!B12,'[1]Instance 3 (Carryover)'!B12,'[1]Instance 4 (Sensitivity)'!B12,'[1]Instance 5 (Large)'!B15))</f>
        <v/>
      </c>
      <c r="C15" s="90" t="str">
        <f>IF(OR($A15="",C$14=""),"",CHOOSE($Z$1,'[1]Instance 1 (Base)'!C12,'[1]Instance 2 (No Discount)'!C12,'[1]Instance 3 (Carryover)'!C12,'[1]Instance 4 (Sensitivity)'!C12,'[1]Instance 5 (Large)'!C15))</f>
        <v/>
      </c>
      <c r="D15" s="90" t="str">
        <f>IF(OR($A15="",D$14=""),"",CHOOSE($Z$1,'[1]Instance 1 (Base)'!D12,'[1]Instance 2 (No Discount)'!D12,'[1]Instance 3 (Carryover)'!D12,'[1]Instance 4 (Sensitivity)'!D12,'[1]Instance 5 (Large)'!D15))</f>
        <v/>
      </c>
      <c r="E15" s="90" t="str">
        <f>IF(OR($A15="",E$14=""),"",CHOOSE($Z$1,'[1]Instance 1 (Base)'!E12,'[1]Instance 2 (No Discount)'!E12,'[1]Instance 3 (Carryover)'!E12,'[1]Instance 4 (Sensitivity)'!E12,'[1]Instance 5 (Large)'!E15))</f>
        <v/>
      </c>
      <c r="F15" s="90" t="str">
        <f>IF(OR($A15="",F$14=""),"",CHOOSE($Z$1,'[1]Instance 1 (Base)'!F12,'[1]Instance 2 (No Discount)'!F12,'[1]Instance 3 (Carryover)'!F12,'[1]Instance 4 (Sensitivity)'!F12,'[1]Instance 5 (Large)'!F15))</f>
        <v/>
      </c>
      <c r="G15" s="90" t="str">
        <f>IF(OR($A15="",G$14=""),"",CHOOSE($Z$1,'[1]Instance 1 (Base)'!G12,'[1]Instance 2 (No Discount)'!G12,'[1]Instance 3 (Carryover)'!G12,'[1]Instance 4 (Sensitivity)'!G12,'[1]Instance 5 (Large)'!G15))</f>
        <v/>
      </c>
      <c r="H15" s="87"/>
      <c r="I15" s="87"/>
      <c r="J15" s="87"/>
    </row>
    <row r="16" spans="1:26" x14ac:dyDescent="0.45">
      <c r="A16" s="87" t="str">
        <f>IF(CHOOSE($Z$1,'[1]Instance 1 (Base)'!A13,'[1]Instance 2 (No Discount)'!A13,'[1]Instance 3 (Carryover)'!A13,'[1]Instance 4 (Sensitivity)'!A13,'[1]Instance 5 (Large)'!A16)="","",CHOOSE($Z$1,'[1]Instance 1 (Base)'!A13,'[1]Instance 2 (No Discount)'!A13,'[1]Instance 3 (Carryover)'!A13,'[1]Instance 4 (Sensitivity)'!A13,'[1]Instance 5 (Large)'!A16))</f>
        <v>D1 (Tomato-Egg)</v>
      </c>
      <c r="B16" s="90" t="str">
        <f>IF(OR($A16="",B$14=""),"",CHOOSE($Z$1,'[1]Instance 1 (Base)'!B13,'[1]Instance 2 (No Discount)'!B13,'[1]Instance 3 (Carryover)'!B13,'[1]Instance 4 (Sensitivity)'!B13,'[1]Instance 5 (Large)'!B16))</f>
        <v/>
      </c>
      <c r="C16" s="90" t="str">
        <f>IF(OR($A16="",C$14=""),"",CHOOSE($Z$1,'[1]Instance 1 (Base)'!C13,'[1]Instance 2 (No Discount)'!C13,'[1]Instance 3 (Carryover)'!C13,'[1]Instance 4 (Sensitivity)'!C13,'[1]Instance 5 (Large)'!C16))</f>
        <v/>
      </c>
      <c r="D16" s="90" t="str">
        <f>IF(OR($A16="",D$14=""),"",CHOOSE($Z$1,'[1]Instance 1 (Base)'!D13,'[1]Instance 2 (No Discount)'!D13,'[1]Instance 3 (Carryover)'!D13,'[1]Instance 4 (Sensitivity)'!D13,'[1]Instance 5 (Large)'!D16))</f>
        <v/>
      </c>
      <c r="E16" s="90" t="str">
        <f>IF(OR($A16="",E$14=""),"",CHOOSE($Z$1,'[1]Instance 1 (Base)'!E13,'[1]Instance 2 (No Discount)'!E13,'[1]Instance 3 (Carryover)'!E13,'[1]Instance 4 (Sensitivity)'!E13,'[1]Instance 5 (Large)'!E16))</f>
        <v/>
      </c>
      <c r="F16" s="90" t="str">
        <f>IF(OR($A16="",F$14=""),"",CHOOSE($Z$1,'[1]Instance 1 (Base)'!F13,'[1]Instance 2 (No Discount)'!F13,'[1]Instance 3 (Carryover)'!F13,'[1]Instance 4 (Sensitivity)'!F13,'[1]Instance 5 (Large)'!F16))</f>
        <v/>
      </c>
      <c r="G16" s="90" t="str">
        <f>IF(OR($A16="",G$14=""),"",CHOOSE($Z$1,'[1]Instance 1 (Base)'!G13,'[1]Instance 2 (No Discount)'!G13,'[1]Instance 3 (Carryover)'!G13,'[1]Instance 4 (Sensitivity)'!G13,'[1]Instance 5 (Large)'!G16))</f>
        <v/>
      </c>
      <c r="H16" s="87"/>
      <c r="I16" s="87"/>
      <c r="J16" s="87"/>
    </row>
    <row r="17" spans="1:10" x14ac:dyDescent="0.45">
      <c r="A17" s="87" t="str">
        <f>IF(CHOOSE($Z$1,'[1]Instance 1 (Base)'!A14,'[1]Instance 2 (No Discount)'!A14,'[1]Instance 3 (Carryover)'!A14,'[1]Instance 4 (Sensitivity)'!A14,'[1]Instance 5 (Large)'!A17)="","",CHOOSE($Z$1,'[1]Instance 1 (Base)'!A14,'[1]Instance 2 (No Discount)'!A14,'[1]Instance 3 (Carryover)'!A14,'[1]Instance 4 (Sensitivity)'!A14,'[1]Instance 5 (Large)'!A17))</f>
        <v>D2 (Spinach)</v>
      </c>
      <c r="B17" s="90" t="str">
        <f>IF(OR($A17="",B$14=""),"",CHOOSE($Z$1,'[1]Instance 1 (Base)'!B14,'[1]Instance 2 (No Discount)'!B14,'[1]Instance 3 (Carryover)'!B14,'[1]Instance 4 (Sensitivity)'!B14,'[1]Instance 5 (Large)'!B17))</f>
        <v/>
      </c>
      <c r="C17" s="90" t="str">
        <f>IF(OR($A17="",C$14=""),"",CHOOSE($Z$1,'[1]Instance 1 (Base)'!C14,'[1]Instance 2 (No Discount)'!C14,'[1]Instance 3 (Carryover)'!C14,'[1]Instance 4 (Sensitivity)'!C14,'[1]Instance 5 (Large)'!C17))</f>
        <v/>
      </c>
      <c r="D17" s="90" t="str">
        <f>IF(OR($A17="",D$14=""),"",CHOOSE($Z$1,'[1]Instance 1 (Base)'!D14,'[1]Instance 2 (No Discount)'!D14,'[1]Instance 3 (Carryover)'!D14,'[1]Instance 4 (Sensitivity)'!D14,'[1]Instance 5 (Large)'!D17))</f>
        <v/>
      </c>
      <c r="E17" s="90" t="str">
        <f>IF(OR($A17="",E$14=""),"",CHOOSE($Z$1,'[1]Instance 1 (Base)'!E14,'[1]Instance 2 (No Discount)'!E14,'[1]Instance 3 (Carryover)'!E14,'[1]Instance 4 (Sensitivity)'!E14,'[1]Instance 5 (Large)'!E17))</f>
        <v/>
      </c>
      <c r="F17" s="90" t="str">
        <f>IF(OR($A17="",F$14=""),"",CHOOSE($Z$1,'[1]Instance 1 (Base)'!F14,'[1]Instance 2 (No Discount)'!F14,'[1]Instance 3 (Carryover)'!F14,'[1]Instance 4 (Sensitivity)'!F14,'[1]Instance 5 (Large)'!F17))</f>
        <v/>
      </c>
      <c r="G17" s="90" t="str">
        <f>IF(OR($A17="",G$14=""),"",CHOOSE($Z$1,'[1]Instance 1 (Base)'!G14,'[1]Instance 2 (No Discount)'!G14,'[1]Instance 3 (Carryover)'!G14,'[1]Instance 4 (Sensitivity)'!G14,'[1]Instance 5 (Large)'!G17))</f>
        <v/>
      </c>
      <c r="H17" s="87"/>
      <c r="I17" s="87"/>
      <c r="J17" s="87"/>
    </row>
    <row r="18" spans="1:10" x14ac:dyDescent="0.45">
      <c r="A18" s="87" t="str">
        <f>IF(CHOOSE($Z$1,"","","","",'[1]Instance 5 (Large)'!A18)="","",CHOOSE($Z$1,"","","","",'[1]Instance 5 (Large)'!A18))</f>
        <v/>
      </c>
      <c r="B18" s="90" t="str">
        <f>IF(OR($A18="",B$14=""),"",CHOOSE($Z$1,"","","","",'[1]Instance 5 (Large)'!B18))</f>
        <v/>
      </c>
      <c r="C18" s="90" t="str">
        <f>IF(OR($A18="",C$14=""),"",CHOOSE($Z$1,"","","","",'[1]Instance 5 (Large)'!C18))</f>
        <v/>
      </c>
      <c r="D18" s="90" t="str">
        <f>IF(OR($A18="",D$14=""),"",CHOOSE($Z$1,"","","","",'[1]Instance 5 (Large)'!D18))</f>
        <v/>
      </c>
      <c r="E18" s="90" t="str">
        <f>IF(OR($A18="",E$14=""),"",CHOOSE($Z$1,"","","","",'[1]Instance 5 (Large)'!E18))</f>
        <v/>
      </c>
      <c r="F18" s="90" t="str">
        <f>IF(OR($A18="",F$14=""),"",CHOOSE($Z$1,"","","","",'[1]Instance 5 (Large)'!F18))</f>
        <v/>
      </c>
      <c r="G18" s="90" t="str">
        <f>IF(OR($A18="",G$14=""),"",CHOOSE($Z$1,"","","","",'[1]Instance 5 (Large)'!G18))</f>
        <v/>
      </c>
      <c r="H18" s="87"/>
      <c r="I18" s="87"/>
      <c r="J18" s="87"/>
    </row>
    <row r="19" spans="1:10" x14ac:dyDescent="0.45">
      <c r="A19" s="87" t="str">
        <f>IF(CHOOSE($Z$1,"","","","",'[1]Instance 5 (Large)'!A19)="","",CHOOSE($Z$1,"","","","",'[1]Instance 5 (Large)'!A19))</f>
        <v/>
      </c>
      <c r="B19" s="90" t="str">
        <f>IF(OR($A19="",B$14=""),"",CHOOSE($Z$1,"","","","",'[1]Instance 5 (Large)'!B19))</f>
        <v/>
      </c>
      <c r="C19" s="90" t="str">
        <f>IF(OR($A19="",C$14=""),"",CHOOSE($Z$1,"","","","",'[1]Instance 5 (Large)'!C19))</f>
        <v/>
      </c>
      <c r="D19" s="90" t="str">
        <f>IF(OR($A19="",D$14=""),"",CHOOSE($Z$1,"","","","",'[1]Instance 5 (Large)'!D19))</f>
        <v/>
      </c>
      <c r="E19" s="90" t="str">
        <f>IF(OR($A19="",E$14=""),"",CHOOSE($Z$1,"","","","",'[1]Instance 5 (Large)'!E19))</f>
        <v/>
      </c>
      <c r="F19" s="90" t="str">
        <f>IF(OR($A19="",F$14=""),"",CHOOSE($Z$1,"","","","",'[1]Instance 5 (Large)'!F19))</f>
        <v/>
      </c>
      <c r="G19" s="90" t="str">
        <f>IF(OR($A19="",G$14=""),"",CHOOSE($Z$1,"","","","",'[1]Instance 5 (Large)'!G19))</f>
        <v/>
      </c>
      <c r="H19" s="87"/>
      <c r="I19" s="87"/>
      <c r="J19" s="87"/>
    </row>
    <row r="20" spans="1:10" x14ac:dyDescent="0.45">
      <c r="A20" s="87" t="str">
        <f>IF(CHOOSE($Z$1,"","","","",'[1]Instance 5 (Large)'!A20)="","",CHOOSE($Z$1,"","","","",'[1]Instance 5 (Large)'!A20))</f>
        <v/>
      </c>
      <c r="B20" s="90" t="str">
        <f>IF(OR($A20="",B$14=""),"",CHOOSE($Z$1,"","","","",'[1]Instance 5 (Large)'!B20))</f>
        <v/>
      </c>
      <c r="C20" s="90" t="str">
        <f>IF(OR($A20="",C$14=""),"",CHOOSE($Z$1,"","","","",'[1]Instance 5 (Large)'!C20))</f>
        <v/>
      </c>
      <c r="D20" s="90" t="str">
        <f>IF(OR($A20="",D$14=""),"",CHOOSE($Z$1,"","","","",'[1]Instance 5 (Large)'!D20))</f>
        <v/>
      </c>
      <c r="E20" s="90" t="str">
        <f>IF(OR($A20="",E$14=""),"",CHOOSE($Z$1,"","","","",'[1]Instance 5 (Large)'!E20))</f>
        <v/>
      </c>
      <c r="F20" s="90" t="str">
        <f>IF(OR($A20="",F$14=""),"",CHOOSE($Z$1,"","","","",'[1]Instance 5 (Large)'!F20))</f>
        <v/>
      </c>
      <c r="G20" s="90" t="str">
        <f>IF(OR($A20="",G$14=""),"",CHOOSE($Z$1,"","","","",'[1]Instance 5 (Large)'!G20))</f>
        <v/>
      </c>
      <c r="H20" s="87"/>
      <c r="I20" s="87"/>
      <c r="J20" s="87"/>
    </row>
    <row r="21" spans="1:10" ht="15.75" customHeight="1" x14ac:dyDescent="0.45">
      <c r="A21" s="87"/>
      <c r="B21" s="87"/>
      <c r="C21" s="87"/>
      <c r="D21" s="87"/>
      <c r="E21" s="87"/>
      <c r="F21" s="87"/>
      <c r="G21" s="87"/>
      <c r="H21" s="87"/>
      <c r="I21" s="87"/>
      <c r="J21" s="87"/>
    </row>
    <row r="22" spans="1:10" ht="15.75" customHeight="1" x14ac:dyDescent="0.45">
      <c r="A22" s="104" t="s">
        <v>203</v>
      </c>
      <c r="B22" s="96"/>
      <c r="C22" s="96"/>
      <c r="D22" s="96"/>
      <c r="E22" s="96"/>
      <c r="F22" s="96"/>
      <c r="G22" s="96"/>
      <c r="H22" s="96"/>
      <c r="I22" s="96"/>
      <c r="J22" s="87"/>
    </row>
    <row r="23" spans="1:10" ht="15.75" customHeight="1" x14ac:dyDescent="0.45">
      <c r="A23" s="88" t="s">
        <v>22</v>
      </c>
      <c r="B23" s="88" t="s">
        <v>204</v>
      </c>
      <c r="C23" s="88" t="s">
        <v>205</v>
      </c>
      <c r="D23" s="88" t="s">
        <v>206</v>
      </c>
      <c r="E23" s="88" t="s">
        <v>207</v>
      </c>
      <c r="F23" s="88" t="s">
        <v>208</v>
      </c>
      <c r="G23" s="88" t="s">
        <v>209</v>
      </c>
      <c r="H23" s="88" t="s">
        <v>210</v>
      </c>
      <c r="I23" s="88" t="s">
        <v>211</v>
      </c>
      <c r="J23" s="87"/>
    </row>
    <row r="24" spans="1:10" ht="15.75" customHeight="1" x14ac:dyDescent="0.45">
      <c r="A24" s="87" t="str">
        <f>IF(CHOOSE($Z$1,'[1]Instance 1 (Base)'!A18,'[1]Instance 2 (No Discount)'!A18,'[1]Instance 3 (Carryover)'!A18,'[1]Instance 4 (Sensitivity)'!A18,'[1]Instance 5 (Large)'!A24)="","",CHOOSE($Z$1,'[1]Instance 1 (Base)'!A18,'[1]Instance 2 (No Discount)'!A18,'[1]Instance 3 (Carryover)'!A18,'[1]Instance 4 (Sensitivity)'!A18,'[1]Instance 5 (Large)'!A24))</f>
        <v>Ingredient</v>
      </c>
      <c r="B24" s="90" t="str">
        <f>IF($A24="","",CHOOSE($Z$1,'[1]Instance 1 (Base)'!B18,'[1]Instance 2 (No Discount)'!B18,'[1]Instance 3 (Carryover)'!B18,'[1]Instance 4 (Sensitivity)'!B18,'[1]Instance 5 (Large)'!B24))</f>
        <v>Regular cost cᵢ</v>
      </c>
      <c r="C24" s="90" t="str">
        <f>IF($A24="","",CHOOSE($Z$1,'[1]Instance 1 (Base)'!C18,'[1]Instance 2 (No Discount)'!C18,'[1]Instance 3 (Carryover)'!C18,'[1]Instance 4 (Sensitivity)'!C18,'[1]Instance 5 (Large)'!C24))</f>
        <v>Disc. cost c̄ᵢ</v>
      </c>
      <c r="D24" s="90" t="str">
        <f>IF($A24="","",CHOOSE($Z$1,'[1]Instance 1 (Base)'!D18,'[1]Instance 2 (No Discount)'!D18,'[1]Instance 3 (Carryover)'!D18,'[1]Instance 4 (Sensitivity)'!D18,'[1]Instance 5 (Large)'!D24))</f>
        <v>Min qty mᵢ</v>
      </c>
      <c r="E24" s="90" t="str">
        <f>IF($A24="","",CHOOSE($Z$1,'[1]Instance 1 (Base)'!E18,'[1]Instance 2 (No Discount)'!E18,'[1]Instance 3 (Carryover)'!E18,'[1]Instance 4 (Sensitivity)'!E18,'[1]Instance 5 (Large)'!E24))</f>
        <v>Shelf life Lᵢ (wks)</v>
      </c>
      <c r="F24" s="90" t="str">
        <f>IF($A24="","",CHOOSE($Z$1,'[1]Instance 1 (Base)'!F18,'[1]Instance 2 (No Discount)'!F18,'[1]Instance 3 (Carryover)'!F18,'[1]Instance 4 (Sensitivity)'!F18,'[1]Instance 5 (Large)'!F24))</f>
        <v>Holding cost hᵢ</v>
      </c>
      <c r="G24" s="90" t="str">
        <f>IF($A24="","",CHOOSE($Z$1,'[1]Instance 1 (Base)'!G18,'[1]Instance 2 (No Discount)'!G18,'[1]Instance 3 (Carryover)'!G18,'[1]Instance 4 (Sensitivity)'!G18,'[1]Instance 5 (Large)'!G24))</f>
        <v>Waste cost wᵢ</v>
      </c>
      <c r="H24" s="91" t="e">
        <f t="shared" ref="H24:H29" si="0">IF($A24="","",IF(B24=0,"",(B24-C24)/B24))</f>
        <v>#VALUE!</v>
      </c>
      <c r="I24" s="90" t="e">
        <f t="shared" ref="I24:I29" si="1">IF($A24="","",IF(F24=0,"",G24/F24))</f>
        <v>#VALUE!</v>
      </c>
      <c r="J24" s="87"/>
    </row>
    <row r="25" spans="1:10" ht="15.75" customHeight="1" x14ac:dyDescent="0.45">
      <c r="A25" s="87" t="str">
        <f>IF(CHOOSE($Z$1,'[1]Instance 1 (Base)'!A19,'[1]Instance 2 (No Discount)'!A19,'[1]Instance 3 (Carryover)'!A19,'[1]Instance 4 (Sensitivity)'!A19,'[1]Instance 5 (Large)'!A25)="","",CHOOSE($Z$1,'[1]Instance 1 (Base)'!A19,'[1]Instance 2 (No Discount)'!A19,'[1]Instance 3 (Carryover)'!A19,'[1]Instance 4 (Sensitivity)'!A19,'[1]Instance 5 (Large)'!A25))</f>
        <v>Chicken Leg</v>
      </c>
      <c r="B25" s="90">
        <f>IF($A25="","",CHOOSE($Z$1,'[1]Instance 1 (Base)'!B19,'[1]Instance 2 (No Discount)'!B19,'[1]Instance 3 (Carryover)'!B19,'[1]Instance 4 (Sensitivity)'!B19,'[1]Instance 5 (Large)'!B25))</f>
        <v>5</v>
      </c>
      <c r="C25" s="90">
        <f>IF($A25="","",CHOOSE($Z$1,'[1]Instance 1 (Base)'!C19,'[1]Instance 2 (No Discount)'!C19,'[1]Instance 3 (Carryover)'!C19,'[1]Instance 4 (Sensitivity)'!C19,'[1]Instance 5 (Large)'!C25))</f>
        <v>4.5</v>
      </c>
      <c r="D25" s="90">
        <f>IF($A25="","",CHOOSE($Z$1,'[1]Instance 1 (Base)'!D19,'[1]Instance 2 (No Discount)'!D19,'[1]Instance 3 (Carryover)'!D19,'[1]Instance 4 (Sensitivity)'!D19,'[1]Instance 5 (Large)'!D25))</f>
        <v>100</v>
      </c>
      <c r="E25" s="90">
        <f>IF($A25="","",CHOOSE($Z$1,'[1]Instance 1 (Base)'!E19,'[1]Instance 2 (No Discount)'!E19,'[1]Instance 3 (Carryover)'!E19,'[1]Instance 4 (Sensitivity)'!E19,'[1]Instance 5 (Large)'!E25))</f>
        <v>2</v>
      </c>
      <c r="F25" s="90">
        <f>IF($A25="","",CHOOSE($Z$1,'[1]Instance 1 (Base)'!F19,'[1]Instance 2 (No Discount)'!F19,'[1]Instance 3 (Carryover)'!F19,'[1]Instance 4 (Sensitivity)'!F19,'[1]Instance 5 (Large)'!F25))</f>
        <v>0.18</v>
      </c>
      <c r="G25" s="90">
        <f>IF($A25="","",CHOOSE($Z$1,'[1]Instance 1 (Base)'!G19,'[1]Instance 2 (No Discount)'!G19,'[1]Instance 3 (Carryover)'!G19,'[1]Instance 4 (Sensitivity)'!G19,'[1]Instance 5 (Large)'!G25))</f>
        <v>1</v>
      </c>
      <c r="H25" s="91">
        <f t="shared" si="0"/>
        <v>0.1</v>
      </c>
      <c r="I25" s="90">
        <f t="shared" si="1"/>
        <v>5.5555555555555554</v>
      </c>
      <c r="J25" s="87"/>
    </row>
    <row r="26" spans="1:10" ht="15.75" customHeight="1" x14ac:dyDescent="0.45">
      <c r="A26" s="87" t="str">
        <f>IF(CHOOSE($Z$1,'[1]Instance 1 (Base)'!A20,'[1]Instance 2 (No Discount)'!A20,'[1]Instance 3 (Carryover)'!A20,'[1]Instance 4 (Sensitivity)'!A20,'[1]Instance 5 (Large)'!A26)="","",CHOOSE($Z$1,'[1]Instance 1 (Base)'!A20,'[1]Instance 2 (No Discount)'!A20,'[1]Instance 3 (Carryover)'!A20,'[1]Instance 4 (Sensitivity)'!A20,'[1]Instance 5 (Large)'!A26))</f>
        <v>Tomato</v>
      </c>
      <c r="B26" s="90">
        <f>IF($A26="","",CHOOSE($Z$1,'[1]Instance 1 (Base)'!B20,'[1]Instance 2 (No Discount)'!B20,'[1]Instance 3 (Carryover)'!B20,'[1]Instance 4 (Sensitivity)'!B20,'[1]Instance 5 (Large)'!B26))</f>
        <v>1</v>
      </c>
      <c r="C26" s="90">
        <f>IF($A26="","",CHOOSE($Z$1,'[1]Instance 1 (Base)'!C20,'[1]Instance 2 (No Discount)'!C20,'[1]Instance 3 (Carryover)'!C20,'[1]Instance 4 (Sensitivity)'!C20,'[1]Instance 5 (Large)'!C26))</f>
        <v>0.85</v>
      </c>
      <c r="D26" s="90">
        <f>IF($A26="","",CHOOSE($Z$1,'[1]Instance 1 (Base)'!D20,'[1]Instance 2 (No Discount)'!D20,'[1]Instance 3 (Carryover)'!D20,'[1]Instance 4 (Sensitivity)'!D20,'[1]Instance 5 (Large)'!D26))</f>
        <v>90</v>
      </c>
      <c r="E26" s="90">
        <f>IF($A26="","",CHOOSE($Z$1,'[1]Instance 1 (Base)'!E20,'[1]Instance 2 (No Discount)'!E20,'[1]Instance 3 (Carryover)'!E20,'[1]Instance 4 (Sensitivity)'!E20,'[1]Instance 5 (Large)'!E26))</f>
        <v>1</v>
      </c>
      <c r="F26" s="90">
        <f>IF($A26="","",CHOOSE($Z$1,'[1]Instance 1 (Base)'!F20,'[1]Instance 2 (No Discount)'!F20,'[1]Instance 3 (Carryover)'!F20,'[1]Instance 4 (Sensitivity)'!F20,'[1]Instance 5 (Large)'!F26))</f>
        <v>0.05</v>
      </c>
      <c r="G26" s="90">
        <f>IF($A26="","",CHOOSE($Z$1,'[1]Instance 1 (Base)'!G20,'[1]Instance 2 (No Discount)'!G20,'[1]Instance 3 (Carryover)'!G20,'[1]Instance 4 (Sensitivity)'!G20,'[1]Instance 5 (Large)'!G26))</f>
        <v>0.3</v>
      </c>
      <c r="H26" s="91">
        <f t="shared" si="0"/>
        <v>0.15000000000000002</v>
      </c>
      <c r="I26" s="90">
        <f t="shared" si="1"/>
        <v>5.9999999999999991</v>
      </c>
      <c r="J26" s="87"/>
    </row>
    <row r="27" spans="1:10" ht="15.75" customHeight="1" x14ac:dyDescent="0.45">
      <c r="A27" s="87" t="str">
        <f>IF(CHOOSE($Z$1,'[1]Instance 1 (Base)'!A21,'[1]Instance 2 (No Discount)'!A21,'[1]Instance 3 (Carryover)'!A21,'[1]Instance 4 (Sensitivity)'!A21,'[1]Instance 5 (Large)'!A27)="","",CHOOSE($Z$1,'[1]Instance 1 (Base)'!A21,'[1]Instance 2 (No Discount)'!A21,'[1]Instance 3 (Carryover)'!A21,'[1]Instance 4 (Sensitivity)'!A21,'[1]Instance 5 (Large)'!A27))</f>
        <v>Egg</v>
      </c>
      <c r="B27" s="90">
        <f>IF($A27="","",CHOOSE($Z$1,'[1]Instance 1 (Base)'!B21,'[1]Instance 2 (No Discount)'!B21,'[1]Instance 3 (Carryover)'!B21,'[1]Instance 4 (Sensitivity)'!B21,'[1]Instance 5 (Large)'!B27))</f>
        <v>0.5</v>
      </c>
      <c r="C27" s="90">
        <f>IF($A27="","",CHOOSE($Z$1,'[1]Instance 1 (Base)'!C21,'[1]Instance 2 (No Discount)'!C21,'[1]Instance 3 (Carryover)'!C21,'[1]Instance 4 (Sensitivity)'!C21,'[1]Instance 5 (Large)'!C27))</f>
        <v>0.44</v>
      </c>
      <c r="D27" s="90">
        <f>IF($A27="","",CHOOSE($Z$1,'[1]Instance 1 (Base)'!D21,'[1]Instance 2 (No Discount)'!D21,'[1]Instance 3 (Carryover)'!D21,'[1]Instance 4 (Sensitivity)'!D21,'[1]Instance 5 (Large)'!D27))</f>
        <v>150</v>
      </c>
      <c r="E27" s="90">
        <f>IF($A27="","",CHOOSE($Z$1,'[1]Instance 1 (Base)'!E21,'[1]Instance 2 (No Discount)'!E21,'[1]Instance 3 (Carryover)'!E21,'[1]Instance 4 (Sensitivity)'!E21,'[1]Instance 5 (Large)'!E27))</f>
        <v>2</v>
      </c>
      <c r="F27" s="90">
        <f>IF($A27="","",CHOOSE($Z$1,'[1]Instance 1 (Base)'!F21,'[1]Instance 2 (No Discount)'!F21,'[1]Instance 3 (Carryover)'!F21,'[1]Instance 4 (Sensitivity)'!F21,'[1]Instance 5 (Large)'!F27))</f>
        <v>0.02</v>
      </c>
      <c r="G27" s="90">
        <f>IF($A27="","",CHOOSE($Z$1,'[1]Instance 1 (Base)'!G21,'[1]Instance 2 (No Discount)'!G21,'[1]Instance 3 (Carryover)'!G21,'[1]Instance 4 (Sensitivity)'!G21,'[1]Instance 5 (Large)'!G27))</f>
        <v>0.1</v>
      </c>
      <c r="H27" s="91">
        <f t="shared" si="0"/>
        <v>0.12</v>
      </c>
      <c r="I27" s="90">
        <f t="shared" si="1"/>
        <v>5</v>
      </c>
      <c r="J27" s="87"/>
    </row>
    <row r="28" spans="1:10" ht="15.75" customHeight="1" x14ac:dyDescent="0.45">
      <c r="A28" s="87" t="str">
        <f>IF(CHOOSE($Z$1,"","","","",'[1]Instance 5 (Large)'!A28)="","",CHOOSE($Z$1,"","","","",'[1]Instance 5 (Large)'!A28))</f>
        <v/>
      </c>
      <c r="B28" s="90" t="str">
        <f>IF($A28="","",CHOOSE($Z$1,"","","","",'[1]Instance 5 (Large)'!B28))</f>
        <v/>
      </c>
      <c r="C28" s="90" t="str">
        <f>IF($A28="","",CHOOSE($Z$1,"","","","",'[1]Instance 5 (Large)'!C28))</f>
        <v/>
      </c>
      <c r="D28" s="90" t="str">
        <f>IF($A28="","",CHOOSE($Z$1,"","","","",'[1]Instance 5 (Large)'!D28))</f>
        <v/>
      </c>
      <c r="E28" s="90" t="str">
        <f>IF($A28="","",CHOOSE($Z$1,"","","","",'[1]Instance 5 (Large)'!E28))</f>
        <v/>
      </c>
      <c r="F28" s="90" t="str">
        <f>IF($A28="","",CHOOSE($Z$1,"","","","",'[1]Instance 5 (Large)'!F28))</f>
        <v/>
      </c>
      <c r="G28" s="90" t="str">
        <f>IF($A28="","",CHOOSE($Z$1,"","","","",'[1]Instance 5 (Large)'!G28))</f>
        <v/>
      </c>
      <c r="H28" s="91" t="str">
        <f t="shared" si="0"/>
        <v/>
      </c>
      <c r="I28" s="90" t="str">
        <f t="shared" si="1"/>
        <v/>
      </c>
      <c r="J28" s="87"/>
    </row>
    <row r="29" spans="1:10" ht="15.75" customHeight="1" x14ac:dyDescent="0.45">
      <c r="A29" s="87" t="str">
        <f>IF(CHOOSE($Z$1,"","","","",'[1]Instance 5 (Large)'!A29)="","",CHOOSE($Z$1,"","","","",'[1]Instance 5 (Large)'!A29))</f>
        <v/>
      </c>
      <c r="B29" s="90" t="str">
        <f>IF($A29="","",CHOOSE($Z$1,"","","","",'[1]Instance 5 (Large)'!B29))</f>
        <v/>
      </c>
      <c r="C29" s="90" t="str">
        <f>IF($A29="","",CHOOSE($Z$1,"","","","",'[1]Instance 5 (Large)'!C29))</f>
        <v/>
      </c>
      <c r="D29" s="90" t="str">
        <f>IF($A29="","",CHOOSE($Z$1,"","","","",'[1]Instance 5 (Large)'!D29))</f>
        <v/>
      </c>
      <c r="E29" s="90" t="str">
        <f>IF($A29="","",CHOOSE($Z$1,"","","","",'[1]Instance 5 (Large)'!E29))</f>
        <v/>
      </c>
      <c r="F29" s="90" t="str">
        <f>IF($A29="","",CHOOSE($Z$1,"","","","",'[1]Instance 5 (Large)'!F29))</f>
        <v/>
      </c>
      <c r="G29" s="90" t="str">
        <f>IF($A29="","",CHOOSE($Z$1,"","","","",'[1]Instance 5 (Large)'!G29))</f>
        <v/>
      </c>
      <c r="H29" s="91" t="str">
        <f t="shared" si="0"/>
        <v/>
      </c>
      <c r="I29" s="90" t="str">
        <f t="shared" si="1"/>
        <v/>
      </c>
      <c r="J29" s="87"/>
    </row>
    <row r="30" spans="1:10" ht="15.75" customHeight="1" x14ac:dyDescent="0.45">
      <c r="A30" s="87"/>
      <c r="B30" s="87"/>
      <c r="C30" s="87"/>
      <c r="D30" s="87"/>
      <c r="E30" s="87"/>
      <c r="F30" s="87"/>
      <c r="G30" s="87"/>
      <c r="H30" s="87"/>
      <c r="I30" s="87"/>
      <c r="J30" s="87"/>
    </row>
    <row r="31" spans="1:10" ht="15.75" customHeight="1" x14ac:dyDescent="0.45">
      <c r="A31" s="104" t="s">
        <v>212</v>
      </c>
      <c r="B31" s="96"/>
      <c r="C31" s="96"/>
      <c r="D31" s="96"/>
      <c r="E31" s="96"/>
      <c r="F31" s="87"/>
      <c r="G31" s="87"/>
      <c r="H31" s="87"/>
      <c r="I31" s="87"/>
      <c r="J31" s="87"/>
    </row>
    <row r="32" spans="1:10" ht="15.75" customHeight="1" x14ac:dyDescent="0.45">
      <c r="A32" s="88" t="s">
        <v>22</v>
      </c>
      <c r="B32" s="88" t="s">
        <v>88</v>
      </c>
      <c r="C32" s="88" t="s">
        <v>89</v>
      </c>
      <c r="D32" s="88" t="s">
        <v>90</v>
      </c>
      <c r="E32" s="88" t="s">
        <v>91</v>
      </c>
      <c r="F32" s="87"/>
      <c r="G32" s="87"/>
      <c r="H32" s="87"/>
      <c r="I32" s="87"/>
      <c r="J32" s="87"/>
    </row>
    <row r="33" spans="1:12" ht="15.75" customHeight="1" x14ac:dyDescent="0.45">
      <c r="A33" s="87" t="str">
        <f t="array" ref="A33">IF(INDEX($A$24:$A$29,1)="","",INDEX($A$24:$A$29,1))</f>
        <v>Ingredient</v>
      </c>
      <c r="B33" s="90">
        <f>IF($A33="","",SUMPRODUCT(B$6:B$11,B$15:B$20))</f>
        <v>0</v>
      </c>
      <c r="C33" s="90">
        <f>IF($A33="","",SUMPRODUCT(C$6:C$11,B$15:B$20))</f>
        <v>0</v>
      </c>
      <c r="D33" s="90">
        <f>IF($A33="","",SUMPRODUCT(D$6:D$11,B$15:B$20))</f>
        <v>0</v>
      </c>
      <c r="E33" s="90">
        <f>IF($A33="","",SUMPRODUCT(E$6:E$11,B$15:B$20))</f>
        <v>0</v>
      </c>
      <c r="F33" s="87"/>
      <c r="G33" s="87"/>
      <c r="H33" s="87"/>
      <c r="I33" s="87"/>
      <c r="J33" s="87"/>
    </row>
    <row r="34" spans="1:12" ht="15.75" customHeight="1" x14ac:dyDescent="0.45">
      <c r="A34" s="87" t="str">
        <f t="array" ref="A34">IF(INDEX($A$24:$A$29,2)="","",INDEX($A$24:$A$29,2))</f>
        <v>Chicken Leg</v>
      </c>
      <c r="B34" s="90">
        <f>IF($A34="","",SUMPRODUCT(B$6:B$11,C$15:C$20))</f>
        <v>0</v>
      </c>
      <c r="C34" s="90">
        <f>IF($A34="","",SUMPRODUCT(C$6:C$11,C$15:C$20))</f>
        <v>0</v>
      </c>
      <c r="D34" s="90">
        <f>IF($A34="","",SUMPRODUCT(D$6:D$11,C$15:C$20))</f>
        <v>0</v>
      </c>
      <c r="E34" s="90">
        <f>IF($A34="","",SUMPRODUCT(E$6:E$11,C$15:C$20))</f>
        <v>0</v>
      </c>
      <c r="F34" s="87"/>
      <c r="G34" s="87"/>
      <c r="H34" s="87"/>
      <c r="I34" s="87"/>
      <c r="J34" s="87"/>
    </row>
    <row r="35" spans="1:12" ht="15.75" customHeight="1" x14ac:dyDescent="0.45">
      <c r="A35" s="87" t="str">
        <f t="array" ref="A35">IF(INDEX($A$24:$A$29,3)="","",INDEX($A$24:$A$29,3))</f>
        <v>Tomato</v>
      </c>
      <c r="B35" s="90">
        <f>IF($A35="","",SUMPRODUCT(B$6:B$11,D$15:D$20))</f>
        <v>0</v>
      </c>
      <c r="C35" s="90">
        <f>IF($A35="","",SUMPRODUCT(C$6:C$11,D$15:D$20))</f>
        <v>0</v>
      </c>
      <c r="D35" s="90">
        <f>IF($A35="","",SUMPRODUCT(D$6:D$11,D$15:D$20))</f>
        <v>0</v>
      </c>
      <c r="E35" s="90">
        <f>IF($A35="","",SUMPRODUCT(E$6:E$11,D$15:D$20))</f>
        <v>0</v>
      </c>
      <c r="F35" s="87"/>
      <c r="G35" s="87"/>
      <c r="H35" s="87"/>
      <c r="I35" s="87"/>
      <c r="J35" s="87"/>
    </row>
    <row r="36" spans="1:12" ht="15.75" customHeight="1" x14ac:dyDescent="0.45">
      <c r="A36" s="87" t="str">
        <f t="array" ref="A36">IF(INDEX($A$24:$A$29,4)="","",INDEX($A$24:$A$29,4))</f>
        <v>Egg</v>
      </c>
      <c r="B36" s="90">
        <f>IF($A36="","",SUMPRODUCT(B$6:B$11,E$15:E$20))</f>
        <v>0</v>
      </c>
      <c r="C36" s="90">
        <f>IF($A36="","",SUMPRODUCT(C$6:C$11,E$15:E$20))</f>
        <v>0</v>
      </c>
      <c r="D36" s="90">
        <f>IF($A36="","",SUMPRODUCT(D$6:D$11,E$15:E$20))</f>
        <v>0</v>
      </c>
      <c r="E36" s="90">
        <f>IF($A36="","",SUMPRODUCT(E$6:E$11,E$15:E$20))</f>
        <v>0</v>
      </c>
      <c r="F36" s="87"/>
      <c r="G36" s="87"/>
      <c r="H36" s="87"/>
      <c r="I36" s="87"/>
      <c r="J36" s="87"/>
    </row>
    <row r="37" spans="1:12" ht="15.75" customHeight="1" x14ac:dyDescent="0.45">
      <c r="A37" s="87" t="str">
        <f t="array" ref="A37">IF(INDEX($A$24:$A$29,5)="","",INDEX($A$24:$A$29,5))</f>
        <v/>
      </c>
      <c r="B37" s="90" t="str">
        <f>IF($A37="","",SUMPRODUCT(B$6:B$11,F$15:F$20))</f>
        <v/>
      </c>
      <c r="C37" s="90" t="str">
        <f>IF($A37="","",SUMPRODUCT(C$6:C$11,F$15:F$20))</f>
        <v/>
      </c>
      <c r="D37" s="90" t="str">
        <f>IF($A37="","",SUMPRODUCT(D$6:D$11,F$15:F$20))</f>
        <v/>
      </c>
      <c r="E37" s="90" t="str">
        <f>IF($A37="","",SUMPRODUCT(E$6:E$11,F$15:F$20))</f>
        <v/>
      </c>
      <c r="F37" s="87"/>
      <c r="G37" s="87"/>
      <c r="H37" s="87"/>
      <c r="I37" s="87"/>
      <c r="J37" s="87"/>
    </row>
    <row r="38" spans="1:12" ht="15.75" customHeight="1" x14ac:dyDescent="0.45">
      <c r="A38" s="87" t="str">
        <f t="array" ref="A38">IF(INDEX($A$24:$A$29,6)="","",INDEX($A$24:$A$29,6))</f>
        <v/>
      </c>
      <c r="B38" s="90" t="str">
        <f>IF($A38="","",SUMPRODUCT(B$6:B$11,G$15:G$20))</f>
        <v/>
      </c>
      <c r="C38" s="90" t="str">
        <f>IF($A38="","",SUMPRODUCT(C$6:C$11,G$15:G$20))</f>
        <v/>
      </c>
      <c r="D38" s="90" t="str">
        <f>IF($A38="","",SUMPRODUCT(D$6:D$11,G$15:G$20))</f>
        <v/>
      </c>
      <c r="E38" s="90" t="str">
        <f>IF($A38="","",SUMPRODUCT(E$6:E$11,G$15:G$20))</f>
        <v/>
      </c>
      <c r="F38" s="87"/>
      <c r="G38" s="87"/>
      <c r="H38" s="87"/>
      <c r="I38" s="87"/>
      <c r="J38" s="87"/>
    </row>
    <row r="39" spans="1:12" ht="15.75" customHeight="1" x14ac:dyDescent="0.45">
      <c r="A39" s="87"/>
      <c r="B39" s="87"/>
      <c r="C39" s="87"/>
      <c r="D39" s="87"/>
      <c r="E39" s="87"/>
      <c r="F39" s="87"/>
      <c r="G39" s="87"/>
      <c r="H39" s="87"/>
      <c r="I39" s="87"/>
      <c r="J39" s="87"/>
    </row>
    <row r="40" spans="1:12" ht="15.75" customHeight="1" x14ac:dyDescent="0.45">
      <c r="A40" s="104" t="s">
        <v>213</v>
      </c>
      <c r="B40" s="96"/>
      <c r="C40" s="96"/>
      <c r="D40" s="96"/>
      <c r="E40" s="96"/>
      <c r="F40" s="96"/>
      <c r="G40" s="96"/>
      <c r="H40" s="96"/>
      <c r="I40" s="96"/>
      <c r="J40" s="96"/>
    </row>
    <row r="41" spans="1:12" ht="15.75" customHeight="1" x14ac:dyDescent="0.45">
      <c r="A41" s="88" t="s">
        <v>22</v>
      </c>
      <c r="B41" s="88" t="s">
        <v>214</v>
      </c>
      <c r="C41" s="88" t="s">
        <v>215</v>
      </c>
      <c r="D41" s="88" t="s">
        <v>206</v>
      </c>
      <c r="E41" s="88" t="s">
        <v>207</v>
      </c>
      <c r="F41" s="88" t="s">
        <v>216</v>
      </c>
      <c r="G41" s="88" t="s">
        <v>217</v>
      </c>
      <c r="H41" s="88" t="s">
        <v>210</v>
      </c>
      <c r="I41" s="88" t="s">
        <v>208</v>
      </c>
      <c r="J41" s="88" t="s">
        <v>209</v>
      </c>
      <c r="K41" s="77" t="s">
        <v>218</v>
      </c>
      <c r="L41" s="77" t="s">
        <v>219</v>
      </c>
    </row>
    <row r="42" spans="1:12" ht="15.75" customHeight="1" x14ac:dyDescent="0.45">
      <c r="A42" s="87" t="str">
        <f t="shared" ref="A42:A47" si="2">IF(A33="","",A33)</f>
        <v>Ingredient</v>
      </c>
      <c r="B42" s="90">
        <f t="shared" ref="B42:B47" si="3">IF($A42="","",SUM(B33:E33))</f>
        <v>0</v>
      </c>
      <c r="C42" s="90">
        <f t="shared" ref="C42:C47" si="4">IF($A42="","",MAX(B33:E33))</f>
        <v>0</v>
      </c>
      <c r="D42" s="90" t="str">
        <f t="shared" ref="D42:E47" si="5">IF($A42="","",D24)</f>
        <v>Min qty mᵢ</v>
      </c>
      <c r="E42" s="90" t="str">
        <f t="shared" si="5"/>
        <v>Shelf life Lᵢ (wks)</v>
      </c>
      <c r="F42" s="90" t="e">
        <f>IF($A42="","",MAX(SUM(B33:INDEX($B33:$E33,1,MIN($E42,4))),SUM(C33:INDEX($B33:$E33,1,MIN($E42+1,4))),SUM(D33:INDEX($B33:$E33,1,MIN($E42+2,4))),E33))</f>
        <v>#VALUE!</v>
      </c>
      <c r="G42" s="87" t="e">
        <f t="shared" ref="G42:G47" si="6">IF($A42="","",IF(D42&lt;=F42,"Yes","No"))</f>
        <v>#VALUE!</v>
      </c>
      <c r="H42" s="91" t="e">
        <f t="shared" ref="H42:H47" si="7">IF($A42="","",H24)</f>
        <v>#VALUE!</v>
      </c>
      <c r="I42" s="90" t="str">
        <f t="shared" ref="I42:J47" si="8">IF($A42="","",F24)</f>
        <v>Holding cost hᵢ</v>
      </c>
      <c r="J42" s="90" t="str">
        <f t="shared" si="8"/>
        <v>Waste cost wᵢ</v>
      </c>
      <c r="K42" s="92">
        <v>2.8</v>
      </c>
      <c r="L42" s="93" t="s">
        <v>220</v>
      </c>
    </row>
    <row r="43" spans="1:12" ht="15.75" customHeight="1" x14ac:dyDescent="0.45">
      <c r="A43" s="87" t="str">
        <f t="shared" si="2"/>
        <v>Chicken Leg</v>
      </c>
      <c r="B43" s="90">
        <f t="shared" si="3"/>
        <v>0</v>
      </c>
      <c r="C43" s="90">
        <f t="shared" si="4"/>
        <v>0</v>
      </c>
      <c r="D43" s="90">
        <f t="shared" si="5"/>
        <v>100</v>
      </c>
      <c r="E43" s="90">
        <f t="shared" si="5"/>
        <v>2</v>
      </c>
      <c r="F43" s="90">
        <f>IF($A43="","",MAX(SUM(B33:INDEX($B34:$E34,1,MIN($E43,4))),SUM(C33:INDEX($B34:$E34,1,MIN($E43+1,4))),SUM(D33:INDEX($B34:$E34,1,MIN($E43+2,4))),E34))</f>
        <v>0</v>
      </c>
      <c r="G43" s="87" t="str">
        <f t="shared" si="6"/>
        <v>No</v>
      </c>
      <c r="H43" s="91">
        <f t="shared" si="7"/>
        <v>0.1</v>
      </c>
      <c r="I43" s="90">
        <f t="shared" si="8"/>
        <v>0.18</v>
      </c>
      <c r="J43" s="90">
        <f t="shared" si="8"/>
        <v>1</v>
      </c>
      <c r="K43" s="92">
        <v>3</v>
      </c>
      <c r="L43" s="94" t="s">
        <v>40</v>
      </c>
    </row>
    <row r="44" spans="1:12" ht="15.75" customHeight="1" x14ac:dyDescent="0.45">
      <c r="A44" s="87" t="str">
        <f t="shared" si="2"/>
        <v>Tomato</v>
      </c>
      <c r="B44" s="90">
        <f t="shared" si="3"/>
        <v>0</v>
      </c>
      <c r="C44" s="90">
        <f t="shared" si="4"/>
        <v>0</v>
      </c>
      <c r="D44" s="90">
        <f t="shared" si="5"/>
        <v>90</v>
      </c>
      <c r="E44" s="90">
        <f t="shared" si="5"/>
        <v>1</v>
      </c>
      <c r="F44" s="90">
        <f>IF($A44="","",MAX(SUM(B33:INDEX($B35:$E35,1,MIN($E44,4))),SUM(C33:INDEX($B35:$E35,1,MIN($E44+1,4))),SUM(D33:INDEX($B35:$E35,1,MIN($E44+2,4))),E35))</f>
        <v>0</v>
      </c>
      <c r="G44" s="87" t="str">
        <f t="shared" si="6"/>
        <v>No</v>
      </c>
      <c r="H44" s="91">
        <f t="shared" si="7"/>
        <v>0.15000000000000002</v>
      </c>
      <c r="I44" s="90">
        <f t="shared" si="8"/>
        <v>0.05</v>
      </c>
      <c r="J44" s="90">
        <f t="shared" si="8"/>
        <v>0.3</v>
      </c>
      <c r="K44" s="92">
        <v>3</v>
      </c>
      <c r="L44" s="93" t="s">
        <v>221</v>
      </c>
    </row>
    <row r="45" spans="1:12" ht="15.75" customHeight="1" x14ac:dyDescent="0.45">
      <c r="A45" s="87" t="str">
        <f t="shared" si="2"/>
        <v>Egg</v>
      </c>
      <c r="B45" s="90">
        <f t="shared" si="3"/>
        <v>0</v>
      </c>
      <c r="C45" s="90">
        <f t="shared" si="4"/>
        <v>0</v>
      </c>
      <c r="D45" s="90">
        <f t="shared" si="5"/>
        <v>150</v>
      </c>
      <c r="E45" s="90">
        <f t="shared" si="5"/>
        <v>2</v>
      </c>
      <c r="F45" s="90">
        <f>IF($A45="","",MAX(SUM(B33:INDEX($B36:$E36,1,MIN($E45,4))),SUM(C33:INDEX($B36:$E36,1,MIN($E45+1,4))),SUM(D33:INDEX($B36:$E36,1,MIN($E45+2,4))),E36))</f>
        <v>0</v>
      </c>
      <c r="G45" s="87" t="str">
        <f t="shared" si="6"/>
        <v>No</v>
      </c>
      <c r="H45" s="91">
        <f t="shared" si="7"/>
        <v>0.12</v>
      </c>
      <c r="I45" s="90">
        <f t="shared" si="8"/>
        <v>0.02</v>
      </c>
      <c r="J45" s="90">
        <f t="shared" si="8"/>
        <v>0.1</v>
      </c>
      <c r="K45" s="92">
        <v>2</v>
      </c>
      <c r="L45" s="94" t="s">
        <v>40</v>
      </c>
    </row>
    <row r="46" spans="1:12" ht="15.75" customHeight="1" x14ac:dyDescent="0.45">
      <c r="A46" s="87" t="str">
        <f t="shared" si="2"/>
        <v/>
      </c>
      <c r="B46" s="90" t="str">
        <f t="shared" si="3"/>
        <v/>
      </c>
      <c r="C46" s="90" t="str">
        <f t="shared" si="4"/>
        <v/>
      </c>
      <c r="D46" s="90" t="str">
        <f t="shared" si="5"/>
        <v/>
      </c>
      <c r="E46" s="90" t="str">
        <f t="shared" si="5"/>
        <v/>
      </c>
      <c r="F46" s="90" t="str">
        <f>IF($A46="","",MAX(SUM(B33:INDEX($B37:$E37,1,MIN($E46,4))),SUM(C33:INDEX($B37:$E37,1,MIN($E46+1,4))),SUM(D33:INDEX($B37:$E37,1,MIN($E46+2,4))),E37))</f>
        <v/>
      </c>
      <c r="G46" s="87" t="str">
        <f t="shared" si="6"/>
        <v/>
      </c>
      <c r="H46" s="91" t="str">
        <f t="shared" si="7"/>
        <v/>
      </c>
      <c r="I46" s="90" t="str">
        <f t="shared" si="8"/>
        <v/>
      </c>
      <c r="J46" s="90" t="str">
        <f t="shared" si="8"/>
        <v/>
      </c>
    </row>
    <row r="47" spans="1:12" ht="15.75" customHeight="1" x14ac:dyDescent="0.45">
      <c r="A47" s="87" t="str">
        <f t="shared" si="2"/>
        <v/>
      </c>
      <c r="B47" s="90" t="str">
        <f t="shared" si="3"/>
        <v/>
      </c>
      <c r="C47" s="90" t="str">
        <f t="shared" si="4"/>
        <v/>
      </c>
      <c r="D47" s="90" t="str">
        <f t="shared" si="5"/>
        <v/>
      </c>
      <c r="E47" s="90" t="str">
        <f t="shared" si="5"/>
        <v/>
      </c>
      <c r="F47" s="90" t="str">
        <f>IF($A47="","",MAX(SUM(B33:INDEX($B38:$E38,1,MIN($E47,4))),SUM(C33:INDEX($B38:$E38,1,MIN($E47+1,4))),SUM(D33:INDEX($B38:$E38,1,MIN($E47+2,4))),E38))</f>
        <v/>
      </c>
      <c r="G47" s="87" t="str">
        <f t="shared" si="6"/>
        <v/>
      </c>
      <c r="H47" s="91" t="str">
        <f t="shared" si="7"/>
        <v/>
      </c>
      <c r="I47" s="90" t="str">
        <f t="shared" si="8"/>
        <v/>
      </c>
      <c r="J47" s="90" t="str">
        <f t="shared" si="8"/>
        <v/>
      </c>
    </row>
    <row r="48" spans="1:12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</sheetData>
  <mergeCells count="6">
    <mergeCell ref="A40:J40"/>
    <mergeCell ref="A1:J1"/>
    <mergeCell ref="A4:E4"/>
    <mergeCell ref="A13:G13"/>
    <mergeCell ref="A22:I22"/>
    <mergeCell ref="A31:E31"/>
  </mergeCells>
  <dataValidations count="1">
    <dataValidation type="list" allowBlank="1" sqref="B2" xr:uid="{7F433BFB-11F8-4019-BEAC-2323729BC115}">
      <formula1>"Instance 1 (Base),Instance 2 (No Discount),Instance 3 (Carryover),Instance 4 (Sensitivity),Instance 5 (Large)"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Parameter Checks</vt:lpstr>
      <vt:lpstr>Instance 1 (Base)</vt:lpstr>
      <vt:lpstr>Instance 2 (No Discount)</vt:lpstr>
      <vt:lpstr>Instance 3 (Carryover)</vt:lpstr>
      <vt:lpstr>Instance 4 (Sensitivity)</vt:lpstr>
      <vt:lpstr>Instance 5 (Large)</vt:lpstr>
      <vt:lpstr>Gurobi Input</vt:lpstr>
      <vt:lpstr>Formula 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staniya thomas</cp:lastModifiedBy>
  <dcterms:created xsi:type="dcterms:W3CDTF">2026-05-18T02:51:29Z</dcterms:created>
  <dcterms:modified xsi:type="dcterms:W3CDTF">2026-05-18T05:05:01Z</dcterms:modified>
</cp:coreProperties>
</file>