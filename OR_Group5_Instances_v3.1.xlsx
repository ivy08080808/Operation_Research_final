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Parameter Checks" sheetId="2" state="visible" r:id="rId4"/>
    <sheet name="Instance 1 (Base)" sheetId="3" state="visible" r:id="rId5"/>
    <sheet name="Instance 2 (No Discount)" sheetId="4" state="visible" r:id="rId6"/>
    <sheet name="Instance 3 (Carryover)" sheetId="5" state="visible" r:id="rId7"/>
    <sheet name="Instance 4 (Sensitivity)" sheetId="6" state="visible" r:id="rId8"/>
    <sheet name="Instance 5 (Large)" sheetId="7" state="visible" r:id="rId9"/>
    <sheet name="Gurobi Input" sheetId="8" state="visible" r:id="rId10"/>
    <sheet name="Formula Generato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<sst xmlns="http://schemas.openxmlformats.org/spreadsheetml/2006/main" count="902" uniqueCount="220">
  <si>
    <t xml:space="preserve">Catering OR Project — Instance Overview (v3)</t>
  </si>
  <si>
    <t xml:space="preserve">Instance</t>
  </si>
  <si>
    <t xml:space="preserve">Design goal</t>
  </si>
  <si>
    <t xml:space="preserve">Key parameter lever</t>
  </si>
  <si>
    <t xml:space="preserve">Instance 1 (Base)</t>
  </si>
  <si>
    <t xml:space="preserve">All mechanisms active simultaneously</t>
  </si>
  <si>
    <t xml:space="preserve">Balanced costs; m/M 0.71–0.89; breakeven ≤ L for all L≥2</t>
  </si>
  <si>
    <t xml:space="preserve">Instance 2 (No Discount)</t>
  </si>
  <si>
    <t xml:space="preserve">Discount blocked by design</t>
  </si>
  <si>
    <t xml:space="preserve">L=1 everywhere; m=200 &gt;&gt; M_i (≤70); high waste cost</t>
  </si>
  <si>
    <t xml:space="preserve">Instance 3 (Carryover)</t>
  </si>
  <si>
    <t xml:space="preserve">Bulk-buy + cross-week carryover dominates</t>
  </si>
  <si>
    <t xml:space="preserve">L=2–3; breakeven 1.5–2.5 wks; 30% discount savings</t>
  </si>
  <si>
    <t xml:space="preserve">Instance 4 (Sensitivity)</t>
  </si>
  <si>
    <t xml:space="preserve">Isolate cost-parameter effects</t>
  </si>
  <si>
    <t xml:space="preserve">Flat demand; 10-scenario sweep of w_i, h_i, m_i</t>
  </si>
  <si>
    <t xml:space="preserve">Instance 5 (Large)</t>
  </si>
  <si>
    <t xml:space="preserve">Scalability: |I|=6, |D|=6</t>
  </si>
  <si>
    <t xml:space="preserve">Coupled demand; all checks satisfied; Rice L=3</t>
  </si>
  <si>
    <t xml:space="preserve">Parameter design rules enforced in all instances:
  Rule 1 (m≤M_i): discount threshold must not exceed max cumulative demand over L consecutive weeks — except Instance 2 where discount is intentionally blocked.
  Rule 2 (breakeven≤L): holding cost h_i set so (c_i−c̄_i)/h_i ≤ L_i for all L≥2 ingredients — ensures bulk-buying is economically rational.
  Rule 3: c̄_i &lt; c_i (discounted price strictly below regular price) for all ingredients.</t>
  </si>
  <si>
    <t xml:space="preserve">Parameter Checks — All 22 Ingredient × Instance Combinations</t>
  </si>
  <si>
    <t xml:space="preserve">Rule 1: m_i ≤ M_i (except Instance 2 — intentional block)  |  Rule 2: breakeven = (c−c̄)/h ≤ L  (N/A when L=1)  |  Green=pass  Amber=intentional  Red=fail</t>
  </si>
  <si>
    <t xml:space="preserve">Ingredient</t>
  </si>
  <si>
    <t xml:space="preserve">L</t>
  </si>
  <si>
    <t xml:space="preserve">m_i</t>
  </si>
  <si>
    <t xml:space="preserve">M_i</t>
  </si>
  <si>
    <t xml:space="preserve">m/M</t>
  </si>
  <si>
    <t xml:space="preserve">Saving</t>
  </si>
  <si>
    <t xml:space="preserve">Breakeven
(wks)</t>
  </si>
  <si>
    <t xml:space="preserve">Rule 1: m≤M</t>
  </si>
  <si>
    <t xml:space="preserve">Rule 2: be≤L</t>
  </si>
  <si>
    <t xml:space="preserve">Overall</t>
  </si>
  <si>
    <t xml:space="preserve">Chicken Leg</t>
  </si>
  <si>
    <t xml:space="preserve">0.71</t>
  </si>
  <si>
    <t xml:space="preserve">✓ 0.71</t>
  </si>
  <si>
    <t xml:space="preserve">✓ 1.67wks</t>
  </si>
  <si>
    <t xml:space="preserve">✓ OK</t>
  </si>
  <si>
    <t xml:space="preserve">Tomato</t>
  </si>
  <si>
    <t xml:space="preserve">0.85</t>
  </si>
  <si>
    <t xml:space="preserve">✓ 0.85</t>
  </si>
  <si>
    <t xml:space="preserve">N/A (L=1)</t>
  </si>
  <si>
    <t xml:space="preserve">Egg</t>
  </si>
  <si>
    <t xml:space="preserve">0.82</t>
  </si>
  <si>
    <t xml:space="preserve">✓ 0.82</t>
  </si>
  <si>
    <t xml:space="preserve">✓ 1.5wks</t>
  </si>
  <si>
    <t xml:space="preserve">Spinach</t>
  </si>
  <si>
    <t xml:space="preserve">0.89</t>
  </si>
  <si>
    <t xml:space="preserve">✓ 0.89</t>
  </si>
  <si>
    <t xml:space="preserve">8.00</t>
  </si>
  <si>
    <t xml:space="preserve">✓ Intentional</t>
  </si>
  <si>
    <t xml:space="preserve">5.00</t>
  </si>
  <si>
    <t xml:space="preserve">2.86</t>
  </si>
  <si>
    <t xml:space="preserve">0.51</t>
  </si>
  <si>
    <t xml:space="preserve">✓ 0.51</t>
  </si>
  <si>
    <t xml:space="preserve">✓ 2.5wks</t>
  </si>
  <si>
    <t xml:space="preserve">0.58</t>
  </si>
  <si>
    <t xml:space="preserve">✓ 0.58</t>
  </si>
  <si>
    <t xml:space="preserve">✓ 1.88wks</t>
  </si>
  <si>
    <t xml:space="preserve">0.56</t>
  </si>
  <si>
    <t xml:space="preserve">✓ 0.56</t>
  </si>
  <si>
    <t xml:space="preserve">✓ 1.56wks</t>
  </si>
  <si>
    <t xml:space="preserve">0.83</t>
  </si>
  <si>
    <t xml:space="preserve">✓ 0.83</t>
  </si>
  <si>
    <t xml:space="preserve">0.86</t>
  </si>
  <si>
    <t xml:space="preserve">✓ 0.86</t>
  </si>
  <si>
    <t xml:space="preserve">0.90</t>
  </si>
  <si>
    <t xml:space="preserve">✓ 0.90</t>
  </si>
  <si>
    <t xml:space="preserve">Chicken</t>
  </si>
  <si>
    <t xml:space="preserve">0.41</t>
  </si>
  <si>
    <t xml:space="preserve">✓ 0.41</t>
  </si>
  <si>
    <t xml:space="preserve">✓ 1.62wks</t>
  </si>
  <si>
    <t xml:space="preserve">Beef</t>
  </si>
  <si>
    <t xml:space="preserve">0.44</t>
  </si>
  <si>
    <t xml:space="preserve">✓ 0.44</t>
  </si>
  <si>
    <t xml:space="preserve">✓ 1.8wks</t>
  </si>
  <si>
    <t xml:space="preserve">0.81</t>
  </si>
  <si>
    <t xml:space="preserve">✓ 0.81</t>
  </si>
  <si>
    <t xml:space="preserve">0.73</t>
  </si>
  <si>
    <t xml:space="preserve">✓ 0.73</t>
  </si>
  <si>
    <t xml:space="preserve">✓ 1.6wks</t>
  </si>
  <si>
    <t xml:space="preserve">Rice</t>
  </si>
  <si>
    <t xml:space="preserve">0.65</t>
  </si>
  <si>
    <t xml:space="preserve">✓ 0.65</t>
  </si>
  <si>
    <t xml:space="preserve">✓ 2.0wks</t>
  </si>
  <si>
    <t xml:space="preserve">Instance 1 (Base)  —  Base illustrative case</t>
  </si>
  <si>
    <t xml:space="preserve">Design goal: All model mechanisms active simultaneously</t>
  </si>
  <si>
    <t xml:space="preserve">A.  Weekly demand  (servings per dish per week)</t>
  </si>
  <si>
    <t xml:space="preserve">Dish</t>
  </si>
  <si>
    <t xml:space="preserve">Week 1</t>
  </si>
  <si>
    <t xml:space="preserve">Week 2</t>
  </si>
  <si>
    <t xml:space="preserve">Week 3</t>
  </si>
  <si>
    <t xml:space="preserve">Week 4</t>
  </si>
  <si>
    <t xml:space="preserve">D1 (Tomato-Egg)</t>
  </si>
  <si>
    <t xml:space="preserve">D2 (Spinach)</t>
  </si>
  <si>
    <t xml:space="preserve">D3 (Chicken)</t>
  </si>
  <si>
    <t xml:space="preserve">B.  Recipes  (units of ingredient per serving)</t>
  </si>
  <si>
    <t xml:space="preserve">Dish \ Ingredient</t>
  </si>
  <si>
    <t xml:space="preserve">C.  Derived ingredient demand  (units per week, from recipes × dish demand)</t>
  </si>
  <si>
    <t xml:space="preserve">Total</t>
  </si>
  <si>
    <t xml:space="preserve">Max weekly</t>
  </si>
  <si>
    <t xml:space="preserve">D.  Ingredient parameters</t>
  </si>
  <si>
    <t xml:space="preserve">c_i (regular)</t>
  </si>
  <si>
    <t xml:space="preserve">c̄_i (discount)</t>
  </si>
  <si>
    <t xml:space="preserve">m_i (threshold)</t>
  </si>
  <si>
    <t xml:space="preserve">L_i (shelf wks)</t>
  </si>
  <si>
    <t xml:space="preserve">h_i (holding)</t>
  </si>
  <si>
    <t xml:space="preserve">w_i (waste)</t>
  </si>
  <si>
    <t xml:space="preserve">Saving %</t>
  </si>
  <si>
    <t xml:space="preserve">Breakeven</t>
  </si>
  <si>
    <t xml:space="preserve">be≤L?</t>
  </si>
  <si>
    <t xml:space="preserve">10.0%</t>
  </si>
  <si>
    <t xml:space="preserve">✓</t>
  </si>
  <si>
    <t xml:space="preserve">15.0%</t>
  </si>
  <si>
    <t xml:space="preserve">N/A</t>
  </si>
  <si>
    <t xml:space="preserve">12.0%</t>
  </si>
  <si>
    <t xml:space="preserve">7.5%</t>
  </si>
  <si>
    <t xml:space="preserve">E.  Instance notes &amp; expected model behaviour</t>
  </si>
  <si>
    <t xml:space="preserve">Base case: all model mechanisms active.
• Demand varies across weeks (70–100 servings) — discount thresholds reachable with modest planning.
• Chicken Leg &amp; Egg (L=2): can carry 1 week; Tomato &amp; Spinach (L=1): buy fresh each week.
• h values set so breakeven ≤ L for L≥2 ingredients (discount holding is economical).
• m values set below M_i (m/M ratio 0.71–0.89): discount reachable every instance.
• Expected: discount activated for Chicken Leg and Egg in high-demand weeks.</t>
  </si>
  <si>
    <t xml:space="preserve">Instance 2 (No Discount)  —  Discount never activated</t>
  </si>
  <si>
    <t xml:space="preserve">Design goal: High threshold + L=1 for all ingredients blocks discount</t>
  </si>
  <si>
    <t xml:space="preserve">Discount-blocked instance: intentional design.
• ALL ingredients have L=1 (must buy fresh each week — no carryover possible).
• m=200 for all ingredients; max weekly demand ≤ 70 units → m &gt;&gt; M_i (discount unreachable by design).
• High waste costs (2–5× Instance 1) heavily penalise any excess purchase.
• Breakeven check irrelevant for L=1 (nothing can be held over).
• Expected: u_i,t=0 for all i,t; model buys exactly to demand every week.</t>
  </si>
  <si>
    <t xml:space="preserve">Instance 3 (Carryover)  —  Bulk-buy + carryover dominates</t>
  </si>
  <si>
    <t xml:space="preserve">Design goal: Long shelf &amp; economical holding reward advance purchasing</t>
  </si>
  <si>
    <t xml:space="preserve">30.0%</t>
  </si>
  <si>
    <t xml:space="preserve">31.2%</t>
  </si>
  <si>
    <t xml:space="preserve">Carryover-dominant instance.
• Demand is deliberately spiky (low–high–low–high: 15–90 or 20–120 servings/week).
• Long shelf lives (L=2–3) allow buying ahead in week 1 to cover week 2 spike.
• h values set so breakeven ≤ L (1.5–2.5 wks &lt; shelf life): holding IS economical.
• Discount savings are large (30–31%): strong incentive to hit the threshold.
• Expected: model bulk-purchases in wk 1 for wk 2, and wk 3 for wk 4; waste≈0.</t>
  </si>
  <si>
    <t xml:space="preserve">Instance 4 (Sensitivity)  —  Sensitivity analysis</t>
  </si>
  <si>
    <t xml:space="preserve">Design goal: Flat demand isolates individual cost-parameter effects</t>
  </si>
  <si>
    <t xml:space="preserve">Sensitivity instance: flat demand (constant every week) isolates cost-parameter effects.
• All parameters satisfy both checks (m≤M_i and breakeven≤L) as baseline.
• Re-solve the model for each scenario in Section E below.
• Varying w_i: observe when waste penalty stops the model from discounting.
• Varying h_i: observe when holding cost kills the carryover incentive.
• Varying m_i: find the tipping threshold where discount is no longer activated.</t>
  </si>
  <si>
    <t xml:space="preserve">F.  Sensitivity scenarios (re-solve model for each row)</t>
  </si>
  <si>
    <t xml:space="preserve">Scenario</t>
  </si>
  <si>
    <t xml:space="preserve">Parameter</t>
  </si>
  <si>
    <t xml:space="preserve">Multiplier</t>
  </si>
  <si>
    <t xml:space="preserve">Concrete value</t>
  </si>
  <si>
    <t xml:space="preserve">Expected effect</t>
  </si>
  <si>
    <t xml:space="preserve">S1</t>
  </si>
  <si>
    <t xml:space="preserve">w_i (waste cost)</t>
  </si>
  <si>
    <t xml:space="preserve">×0.5</t>
  </si>
  <si>
    <t xml:space="preserve">0.50 $/unit (Chicken Leg)</t>
  </si>
  <si>
    <t xml:space="preserve">Less penalty → model tolerates mild over-purchase</t>
  </si>
  <si>
    <t xml:space="preserve">S2</t>
  </si>
  <si>
    <t xml:space="preserve">×1 (base)</t>
  </si>
  <si>
    <t xml:space="preserve">1.00 $/unit</t>
  </si>
  <si>
    <t xml:space="preserve">Reference — baseline solution</t>
  </si>
  <si>
    <t xml:space="preserve">S3</t>
  </si>
  <si>
    <t xml:space="preserve">×2</t>
  </si>
  <si>
    <t xml:space="preserve">2.00 $/unit</t>
  </si>
  <si>
    <t xml:space="preserve">Discount use drops; buy closer to demand</t>
  </si>
  <si>
    <t xml:space="preserve">S4</t>
  </si>
  <si>
    <t xml:space="preserve">×5</t>
  </si>
  <si>
    <t xml:space="preserve">5.00 $/unit</t>
  </si>
  <si>
    <t xml:space="preserve">Discount never activated; strict buy-to-demand</t>
  </si>
  <si>
    <t xml:space="preserve">S5</t>
  </si>
  <si>
    <t xml:space="preserve">0.15 $/unit/wk</t>
  </si>
  <si>
    <t xml:space="preserve">Lower h → more carryover; discount more often</t>
  </si>
  <si>
    <t xml:space="preserve">S6</t>
  </si>
  <si>
    <t xml:space="preserve">0.60 $/unit/wk</t>
  </si>
  <si>
    <t xml:space="preserve">Higher h → less carryover; smaller batches</t>
  </si>
  <si>
    <t xml:space="preserve">S7</t>
  </si>
  <si>
    <t xml:space="preserve">1.50 $/unit/wk</t>
  </si>
  <si>
    <t xml:space="preserve">Very high h → no carryover; buy fresh weekly</t>
  </si>
  <si>
    <t xml:space="preserve">S8</t>
  </si>
  <si>
    <t xml:space="preserve">50 units</t>
  </si>
  <si>
    <t xml:space="preserve">Discount trivially activated every week</t>
  </si>
  <si>
    <t xml:space="preserve">S9</t>
  </si>
  <si>
    <t xml:space="preserve">×1.5</t>
  </si>
  <si>
    <t xml:space="preserve">150 units</t>
  </si>
  <si>
    <t xml:space="preserve">Discount rarely activated; tests tipping point</t>
  </si>
  <si>
    <t xml:space="preserve">S10</t>
  </si>
  <si>
    <t xml:space="preserve">200 units</t>
  </si>
  <si>
    <t xml:space="preserve">Discount never activated (m &gt; M_i)</t>
  </si>
  <si>
    <t xml:space="preserve">Instance 5 (Large)  —  Large-scale scalability test</t>
  </si>
  <si>
    <t xml:space="preserve">Design goal: |I|=6, |D|=6: tests solver scaling and coupled ingredient demand</t>
  </si>
  <si>
    <t xml:space="preserve">D1 (Salad)</t>
  </si>
  <si>
    <t xml:space="preserve">D2 (Stir-fry)</t>
  </si>
  <si>
    <t xml:space="preserve">D3 (Roast)</t>
  </si>
  <si>
    <t xml:space="preserve">D4 (Soup)</t>
  </si>
  <si>
    <t xml:space="preserve">D5 (Sandwich)</t>
  </si>
  <si>
    <t xml:space="preserve">D6 (Bowl)</t>
  </si>
  <si>
    <t xml:space="preserve">14.4%</t>
  </si>
  <si>
    <t xml:space="preserve">18.0%</t>
  </si>
  <si>
    <t xml:space="preserve">17.5%</t>
  </si>
  <si>
    <t xml:space="preserve">16.0%</t>
  </si>
  <si>
    <t xml:space="preserve">20.0%</t>
  </si>
  <si>
    <t xml:space="preserve">Scalability instance: |I|=6, |D|=6, T=4 — roughly 3× the variable count of Instances 1–4.
• Multiple ingredients appear in 2–3 dishes (e.g. Chicken in D2/D4/D6; Egg in D1/D5/D6).
• All L≥2 ingredients satisfy breakeven ≤ L (h tuned accordingly).
• All m values below M_i (ratios 0.41–0.82): discount reachable with planning.
• Rice (L=3): can bulk-buy across 3 weeks; biggest carryover opportunity.
• Expected: discount for Egg &amp; Rice most likely; Chicken/Beef driven by coupled dish demand.</t>
  </si>
  <si>
    <t xml:space="preserve"> Input Tables </t>
  </si>
  <si>
    <t xml:space="preserve">dish_demand</t>
  </si>
  <si>
    <t xml:space="preserve">  week</t>
  </si>
  <si>
    <t xml:space="preserve">  dish</t>
  </si>
  <si>
    <t xml:space="preserve">  demand</t>
  </si>
  <si>
    <t xml:space="preserve">recipe</t>
  </si>
  <si>
    <t xml:space="preserve">  ingredient</t>
  </si>
  <si>
    <t xml:space="preserve">  amount</t>
  </si>
  <si>
    <t xml:space="preserve">ingredient_params</t>
  </si>
  <si>
    <t xml:space="preserve">  c_i</t>
  </si>
  <si>
    <t xml:space="preserve">  cbar_i</t>
  </si>
  <si>
    <t xml:space="preserve">  m_i</t>
  </si>
  <si>
    <t xml:space="preserve">  L_i</t>
  </si>
  <si>
    <t xml:space="preserve">  h_i</t>
  </si>
  <si>
    <t xml:space="preserve">  w_i</t>
  </si>
  <si>
    <t xml:space="preserve">Formula Generator</t>
  </si>
  <si>
    <t xml:space="preserve">Weekly dish demand</t>
  </si>
  <si>
    <t xml:space="preserve">Recipe matrix</t>
  </si>
  <si>
    <t xml:space="preserve">Ingredient parameters</t>
  </si>
  <si>
    <t xml:space="preserve">Regular cost</t>
  </si>
  <si>
    <t xml:space="preserve">Discount cost</t>
  </si>
  <si>
    <t xml:space="preserve">Min qty</t>
  </si>
  <si>
    <t xml:space="preserve">Shelf life</t>
  </si>
  <si>
    <t xml:space="preserve">Holding cost</t>
  </si>
  <si>
    <t xml:space="preserve">Waste cost</t>
  </si>
  <si>
    <t xml:space="preserve">Discount saving %</t>
  </si>
  <si>
    <t xml:space="preserve">w / h</t>
  </si>
  <si>
    <t xml:space="preserve">Ingredient demand</t>
  </si>
  <si>
    <t xml:space="preserve">Formula summary</t>
  </si>
  <si>
    <t xml:space="preserve">Total demand</t>
  </si>
  <si>
    <t xml:space="preserve">Max weekly demand</t>
  </si>
  <si>
    <t xml:space="preserve">Recommended M</t>
  </si>
  <si>
    <t xml:space="preserve">Reachable</t>
  </si>
  <si>
    <t xml:space="preserve">Breakeven (wks)</t>
  </si>
  <si>
    <t xml:space="preserve">Breakeven ≤ L?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</si>
</sst>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.0%"/>
  </numFmts>
  <fonts count="2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7F6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9EAF7"/>
      </patternFill>
    </fill>
    <fill>
      <patternFill patternType="solid">
        <fgColor rgb="FFE2EFDA"/>
        <bgColor rgb="FFDEEAF1"/>
      </patternFill>
    </fill>
    <fill>
      <patternFill patternType="solid">
        <fgColor rgb="FFBDD7E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EAF7"/>
        <bgColor rgb="FFDEEA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1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D9D9D9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B9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2"/>
    <col collapsed="false" customWidth="true" hidden="false" outlineLevel="0" max="3" min="3" style="0" width="44"/>
    <col collapsed="false" customWidth="true" hidden="false" outlineLevel="0" max="11" min="4" style="0" width="8.71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4.25" hidden="false" customHeight="true" outlineLevel="0" collapsed="false"/>
    <row r="3" customFormat="false" ht="14.25" hidden="false" customHeight="true" outlineLevel="0" collapsed="false">
      <c r="A3" s="2" t="s">
        <v>1</v>
      </c>
      <c r="B3" s="3" t="s">
        <v>2</v>
      </c>
      <c r="C3" s="4" t="s">
        <v>3</v>
      </c>
    </row>
    <row r="4" customFormat="false" ht="21.75" hidden="false" customHeight="true" outlineLevel="0" collapsed="false">
      <c r="A4" s="5" t="s">
        <v>4</v>
      </c>
      <c r="B4" s="6" t="s">
        <v>5</v>
      </c>
      <c r="C4" s="7" t="s">
        <v>6</v>
      </c>
    </row>
    <row r="5" customFormat="false" ht="21.75" hidden="false" customHeight="true" outlineLevel="0" collapsed="false">
      <c r="A5" s="8" t="s">
        <v>7</v>
      </c>
      <c r="B5" s="9" t="s">
        <v>8</v>
      </c>
      <c r="C5" s="10" t="s">
        <v>9</v>
      </c>
    </row>
    <row r="6" customFormat="false" ht="21.75" hidden="false" customHeight="true" outlineLevel="0" collapsed="false">
      <c r="A6" s="5" t="s">
        <v>10</v>
      </c>
      <c r="B6" s="6" t="s">
        <v>11</v>
      </c>
      <c r="C6" s="7" t="s">
        <v>12</v>
      </c>
    </row>
    <row r="7" customFormat="false" ht="21.75" hidden="false" customHeight="true" outlineLevel="0" collapsed="false">
      <c r="A7" s="8" t="s">
        <v>13</v>
      </c>
      <c r="B7" s="9" t="s">
        <v>14</v>
      </c>
      <c r="C7" s="10" t="s">
        <v>15</v>
      </c>
    </row>
    <row r="8" customFormat="false" ht="21.75" hidden="false" customHeight="true" outlineLevel="0" collapsed="false">
      <c r="A8" s="11" t="s">
        <v>16</v>
      </c>
      <c r="B8" s="12" t="s">
        <v>17</v>
      </c>
      <c r="C8" s="13" t="s">
        <v>18</v>
      </c>
    </row>
    <row r="9" customFormat="false" ht="14.25" hidden="false" customHeight="true" outlineLevel="0" collapsed="false"/>
    <row r="10" customFormat="false" ht="72" hidden="false" customHeight="true" outlineLevel="0" collapsed="false">
      <c r="A10" s="14" t="s">
        <v>19</v>
      </c>
      <c r="B10" s="14"/>
      <c r="C10" s="14"/>
    </row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">
    <mergeCell ref="A1:C1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customFormat="false" ht="14.25" hidden="false" customHeight="true" outlineLevel="0" collapsed="false">
      <c r="A2" s="16" t="s">
        <v>21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customFormat="false" ht="14.25" hidden="false" customHeight="true" outlineLevel="0" collapsed="false"/>
    <row r="4" customFormat="false" ht="30" hidden="false" customHeight="true" outlineLevel="0" collapsed="false">
      <c r="A4" s="17" t="s">
        <v>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  <c r="H4" s="18" t="s">
        <v>28</v>
      </c>
      <c r="I4" s="18" t="s">
        <v>29</v>
      </c>
      <c r="J4" s="18" t="s">
        <v>30</v>
      </c>
      <c r="K4" s="19" t="s">
        <v>31</v>
      </c>
    </row>
    <row r="5" customFormat="false" ht="14.25" hidden="false" customHeight="true" outlineLevel="0" collapsed="false">
      <c r="A5" s="5" t="s">
        <v>4</v>
      </c>
      <c r="B5" s="6" t="s">
        <v>32</v>
      </c>
      <c r="C5" s="20" t="n">
        <v>2</v>
      </c>
      <c r="D5" s="20" t="n">
        <v>120</v>
      </c>
      <c r="E5" s="20" t="n">
        <v>170</v>
      </c>
      <c r="F5" s="20" t="s">
        <v>33</v>
      </c>
      <c r="G5" s="21" t="n">
        <v>0.5</v>
      </c>
      <c r="H5" s="20" t="n">
        <v>1.67</v>
      </c>
      <c r="I5" s="22" t="s">
        <v>34</v>
      </c>
      <c r="J5" s="22" t="s">
        <v>35</v>
      </c>
      <c r="K5" s="23" t="s">
        <v>36</v>
      </c>
    </row>
    <row r="6" customFormat="false" ht="14.25" hidden="false" customHeight="true" outlineLevel="0" collapsed="false">
      <c r="A6" s="24"/>
      <c r="B6" s="9" t="s">
        <v>37</v>
      </c>
      <c r="C6" s="25" t="n">
        <v>1</v>
      </c>
      <c r="D6" s="25" t="n">
        <v>85</v>
      </c>
      <c r="E6" s="25" t="n">
        <v>100</v>
      </c>
      <c r="F6" s="25" t="s">
        <v>38</v>
      </c>
      <c r="G6" s="26" t="n">
        <v>0.15</v>
      </c>
      <c r="H6" s="25" t="n">
        <v>3</v>
      </c>
      <c r="I6" s="22" t="s">
        <v>39</v>
      </c>
      <c r="J6" s="27" t="s">
        <v>40</v>
      </c>
      <c r="K6" s="23" t="s">
        <v>36</v>
      </c>
    </row>
    <row r="7" customFormat="false" ht="14.25" hidden="false" customHeight="true" outlineLevel="0" collapsed="false">
      <c r="A7" s="28"/>
      <c r="B7" s="6" t="s">
        <v>41</v>
      </c>
      <c r="C7" s="20" t="n">
        <v>2</v>
      </c>
      <c r="D7" s="20" t="n">
        <v>140</v>
      </c>
      <c r="E7" s="20" t="n">
        <v>170</v>
      </c>
      <c r="F7" s="20" t="s">
        <v>42</v>
      </c>
      <c r="G7" s="21" t="n">
        <v>0.06</v>
      </c>
      <c r="H7" s="20" t="n">
        <v>1.5</v>
      </c>
      <c r="I7" s="22" t="s">
        <v>43</v>
      </c>
      <c r="J7" s="22" t="s">
        <v>44</v>
      </c>
      <c r="K7" s="23" t="s">
        <v>36</v>
      </c>
    </row>
    <row r="8" customFormat="false" ht="14.25" hidden="false" customHeight="true" outlineLevel="0" collapsed="false">
      <c r="A8" s="24"/>
      <c r="B8" s="9" t="s">
        <v>45</v>
      </c>
      <c r="C8" s="25" t="n">
        <v>1</v>
      </c>
      <c r="D8" s="25" t="n">
        <v>160</v>
      </c>
      <c r="E8" s="25" t="n">
        <v>180</v>
      </c>
      <c r="F8" s="25" t="s">
        <v>46</v>
      </c>
      <c r="G8" s="26" t="n">
        <v>0.06</v>
      </c>
      <c r="H8" s="25" t="n">
        <v>2</v>
      </c>
      <c r="I8" s="22" t="s">
        <v>47</v>
      </c>
      <c r="J8" s="27" t="s">
        <v>40</v>
      </c>
      <c r="K8" s="23" t="s">
        <v>36</v>
      </c>
    </row>
    <row r="9" customFormat="false" ht="14.25" hidden="false" customHeight="true" outlineLevel="0" collapsed="false">
      <c r="A9" s="5" t="s">
        <v>7</v>
      </c>
      <c r="B9" s="6" t="s">
        <v>32</v>
      </c>
      <c r="C9" s="20" t="n">
        <v>1</v>
      </c>
      <c r="D9" s="20" t="n">
        <v>200</v>
      </c>
      <c r="E9" s="20" t="n">
        <v>25</v>
      </c>
      <c r="F9" s="20" t="s">
        <v>48</v>
      </c>
      <c r="G9" s="21" t="n">
        <v>0.5</v>
      </c>
      <c r="H9" s="20" t="n">
        <v>2.5</v>
      </c>
      <c r="I9" s="29" t="s">
        <v>49</v>
      </c>
      <c r="J9" s="27" t="s">
        <v>40</v>
      </c>
      <c r="K9" s="23" t="s">
        <v>36</v>
      </c>
    </row>
    <row r="10" customFormat="false" ht="14.25" hidden="false" customHeight="true" outlineLevel="0" collapsed="false">
      <c r="A10" s="24"/>
      <c r="B10" s="9" t="s">
        <v>37</v>
      </c>
      <c r="C10" s="25" t="n">
        <v>1</v>
      </c>
      <c r="D10" s="25" t="n">
        <v>200</v>
      </c>
      <c r="E10" s="25" t="n">
        <v>40</v>
      </c>
      <c r="F10" s="25" t="s">
        <v>50</v>
      </c>
      <c r="G10" s="26" t="n">
        <v>0.15</v>
      </c>
      <c r="H10" s="25" t="n">
        <v>3</v>
      </c>
      <c r="I10" s="29" t="s">
        <v>49</v>
      </c>
      <c r="J10" s="27" t="s">
        <v>40</v>
      </c>
      <c r="K10" s="23" t="s">
        <v>36</v>
      </c>
    </row>
    <row r="11" customFormat="false" ht="14.25" hidden="false" customHeight="true" outlineLevel="0" collapsed="false">
      <c r="A11" s="28"/>
      <c r="B11" s="6" t="s">
        <v>41</v>
      </c>
      <c r="C11" s="20" t="n">
        <v>1</v>
      </c>
      <c r="D11" s="20" t="n">
        <v>200</v>
      </c>
      <c r="E11" s="20" t="n">
        <v>40</v>
      </c>
      <c r="F11" s="20" t="s">
        <v>50</v>
      </c>
      <c r="G11" s="21" t="n">
        <v>0.06</v>
      </c>
      <c r="H11" s="20" t="n">
        <v>3</v>
      </c>
      <c r="I11" s="29" t="s">
        <v>49</v>
      </c>
      <c r="J11" s="27" t="s">
        <v>40</v>
      </c>
      <c r="K11" s="23" t="s">
        <v>36</v>
      </c>
    </row>
    <row r="12" customFormat="false" ht="14.25" hidden="false" customHeight="true" outlineLevel="0" collapsed="false">
      <c r="A12" s="24"/>
      <c r="B12" s="9" t="s">
        <v>45</v>
      </c>
      <c r="C12" s="25" t="n">
        <v>1</v>
      </c>
      <c r="D12" s="25" t="n">
        <v>200</v>
      </c>
      <c r="E12" s="25" t="n">
        <v>70</v>
      </c>
      <c r="F12" s="25" t="s">
        <v>51</v>
      </c>
      <c r="G12" s="26" t="n">
        <v>0.06</v>
      </c>
      <c r="H12" s="25" t="n">
        <v>2</v>
      </c>
      <c r="I12" s="29" t="s">
        <v>49</v>
      </c>
      <c r="J12" s="27" t="s">
        <v>40</v>
      </c>
      <c r="K12" s="23" t="s">
        <v>36</v>
      </c>
    </row>
    <row r="13" customFormat="false" ht="14.25" hidden="false" customHeight="true" outlineLevel="0" collapsed="false">
      <c r="A13" s="5" t="s">
        <v>10</v>
      </c>
      <c r="B13" s="6" t="s">
        <v>32</v>
      </c>
      <c r="C13" s="20" t="n">
        <v>3</v>
      </c>
      <c r="D13" s="20" t="n">
        <v>100</v>
      </c>
      <c r="E13" s="20" t="n">
        <v>195</v>
      </c>
      <c r="F13" s="20" t="s">
        <v>52</v>
      </c>
      <c r="G13" s="21" t="n">
        <v>1.5</v>
      </c>
      <c r="H13" s="20" t="n">
        <v>2.5</v>
      </c>
      <c r="I13" s="22" t="s">
        <v>53</v>
      </c>
      <c r="J13" s="22" t="s">
        <v>54</v>
      </c>
      <c r="K13" s="23" t="s">
        <v>36</v>
      </c>
    </row>
    <row r="14" customFormat="false" ht="14.25" hidden="false" customHeight="true" outlineLevel="0" collapsed="false">
      <c r="A14" s="24"/>
      <c r="B14" s="9" t="s">
        <v>37</v>
      </c>
      <c r="C14" s="25" t="n">
        <v>2</v>
      </c>
      <c r="D14" s="25" t="n">
        <v>100</v>
      </c>
      <c r="E14" s="25" t="n">
        <v>140</v>
      </c>
      <c r="F14" s="25" t="s">
        <v>33</v>
      </c>
      <c r="G14" s="26" t="n">
        <v>0.3</v>
      </c>
      <c r="H14" s="25" t="n">
        <v>1.5</v>
      </c>
      <c r="I14" s="22" t="s">
        <v>34</v>
      </c>
      <c r="J14" s="22" t="s">
        <v>44</v>
      </c>
      <c r="K14" s="23" t="s">
        <v>36</v>
      </c>
    </row>
    <row r="15" customFormat="false" ht="14.25" hidden="false" customHeight="true" outlineLevel="0" collapsed="false">
      <c r="A15" s="28"/>
      <c r="B15" s="6" t="s">
        <v>41</v>
      </c>
      <c r="C15" s="20" t="n">
        <v>3</v>
      </c>
      <c r="D15" s="20" t="n">
        <v>150</v>
      </c>
      <c r="E15" s="20" t="n">
        <v>260</v>
      </c>
      <c r="F15" s="20" t="s">
        <v>55</v>
      </c>
      <c r="G15" s="21" t="n">
        <v>0.15</v>
      </c>
      <c r="H15" s="20" t="n">
        <v>1.88</v>
      </c>
      <c r="I15" s="22" t="s">
        <v>56</v>
      </c>
      <c r="J15" s="22" t="s">
        <v>57</v>
      </c>
      <c r="K15" s="23" t="s">
        <v>36</v>
      </c>
    </row>
    <row r="16" customFormat="false" ht="14.25" hidden="false" customHeight="true" outlineLevel="0" collapsed="false">
      <c r="A16" s="24"/>
      <c r="B16" s="9" t="s">
        <v>45</v>
      </c>
      <c r="C16" s="25" t="n">
        <v>2</v>
      </c>
      <c r="D16" s="25" t="n">
        <v>100</v>
      </c>
      <c r="E16" s="25" t="n">
        <v>180</v>
      </c>
      <c r="F16" s="25" t="s">
        <v>58</v>
      </c>
      <c r="G16" s="26" t="n">
        <v>0.25</v>
      </c>
      <c r="H16" s="25" t="n">
        <v>1.56</v>
      </c>
      <c r="I16" s="22" t="s">
        <v>59</v>
      </c>
      <c r="J16" s="22" t="s">
        <v>60</v>
      </c>
      <c r="K16" s="23" t="s">
        <v>36</v>
      </c>
    </row>
    <row r="17" customFormat="false" ht="14.25" hidden="false" customHeight="true" outlineLevel="0" collapsed="false">
      <c r="A17" s="5" t="s">
        <v>13</v>
      </c>
      <c r="B17" s="6" t="s">
        <v>32</v>
      </c>
      <c r="C17" s="20" t="n">
        <v>2</v>
      </c>
      <c r="D17" s="20" t="n">
        <v>100</v>
      </c>
      <c r="E17" s="20" t="n">
        <v>120</v>
      </c>
      <c r="F17" s="20" t="s">
        <v>61</v>
      </c>
      <c r="G17" s="21" t="n">
        <v>0.5</v>
      </c>
      <c r="H17" s="20" t="n">
        <v>1.67</v>
      </c>
      <c r="I17" s="22" t="s">
        <v>62</v>
      </c>
      <c r="J17" s="22" t="s">
        <v>35</v>
      </c>
      <c r="K17" s="23" t="s">
        <v>36</v>
      </c>
    </row>
    <row r="18" customFormat="false" ht="14.25" hidden="false" customHeight="true" outlineLevel="0" collapsed="false">
      <c r="A18" s="24"/>
      <c r="B18" s="9" t="s">
        <v>37</v>
      </c>
      <c r="C18" s="25" t="n">
        <v>1</v>
      </c>
      <c r="D18" s="25" t="n">
        <v>60</v>
      </c>
      <c r="E18" s="25" t="n">
        <v>70</v>
      </c>
      <c r="F18" s="25" t="s">
        <v>63</v>
      </c>
      <c r="G18" s="26" t="n">
        <v>0.15</v>
      </c>
      <c r="H18" s="25" t="n">
        <v>3</v>
      </c>
      <c r="I18" s="22" t="s">
        <v>64</v>
      </c>
      <c r="J18" s="27" t="s">
        <v>40</v>
      </c>
      <c r="K18" s="23" t="s">
        <v>36</v>
      </c>
    </row>
    <row r="19" customFormat="false" ht="14.25" hidden="false" customHeight="true" outlineLevel="0" collapsed="false">
      <c r="A19" s="28"/>
      <c r="B19" s="6" t="s">
        <v>41</v>
      </c>
      <c r="C19" s="20" t="n">
        <v>2</v>
      </c>
      <c r="D19" s="20" t="n">
        <v>120</v>
      </c>
      <c r="E19" s="20" t="n">
        <v>140</v>
      </c>
      <c r="F19" s="20" t="s">
        <v>63</v>
      </c>
      <c r="G19" s="21" t="n">
        <v>0.06</v>
      </c>
      <c r="H19" s="20" t="n">
        <v>1.5</v>
      </c>
      <c r="I19" s="22" t="s">
        <v>64</v>
      </c>
      <c r="J19" s="22" t="s">
        <v>44</v>
      </c>
      <c r="K19" s="23" t="s">
        <v>36</v>
      </c>
    </row>
    <row r="20" customFormat="false" ht="14.25" hidden="false" customHeight="true" outlineLevel="0" collapsed="false">
      <c r="A20" s="24"/>
      <c r="B20" s="9" t="s">
        <v>45</v>
      </c>
      <c r="C20" s="25" t="n">
        <v>1</v>
      </c>
      <c r="D20" s="25" t="n">
        <v>90</v>
      </c>
      <c r="E20" s="25" t="n">
        <v>100</v>
      </c>
      <c r="F20" s="25" t="s">
        <v>65</v>
      </c>
      <c r="G20" s="26" t="n">
        <v>0.06</v>
      </c>
      <c r="H20" s="25" t="n">
        <v>2</v>
      </c>
      <c r="I20" s="22" t="s">
        <v>66</v>
      </c>
      <c r="J20" s="27" t="s">
        <v>40</v>
      </c>
      <c r="K20" s="23" t="s">
        <v>36</v>
      </c>
    </row>
    <row r="21" customFormat="false" ht="14.25" hidden="false" customHeight="true" outlineLevel="0" collapsed="false">
      <c r="A21" s="5" t="s">
        <v>16</v>
      </c>
      <c r="B21" s="6" t="s">
        <v>67</v>
      </c>
      <c r="C21" s="20" t="n">
        <v>2</v>
      </c>
      <c r="D21" s="20" t="n">
        <v>200</v>
      </c>
      <c r="E21" s="20" t="n">
        <v>485</v>
      </c>
      <c r="F21" s="20" t="s">
        <v>68</v>
      </c>
      <c r="G21" s="21" t="n">
        <v>0.65</v>
      </c>
      <c r="H21" s="20" t="n">
        <v>1.62</v>
      </c>
      <c r="I21" s="22" t="s">
        <v>69</v>
      </c>
      <c r="J21" s="22" t="s">
        <v>70</v>
      </c>
      <c r="K21" s="23" t="s">
        <v>36</v>
      </c>
    </row>
    <row r="22" customFormat="false" ht="14.25" hidden="false" customHeight="true" outlineLevel="0" collapsed="false">
      <c r="A22" s="24"/>
      <c r="B22" s="9" t="s">
        <v>71</v>
      </c>
      <c r="C22" s="25" t="n">
        <v>2</v>
      </c>
      <c r="D22" s="25" t="n">
        <v>150</v>
      </c>
      <c r="E22" s="25" t="n">
        <v>340</v>
      </c>
      <c r="F22" s="25" t="s">
        <v>72</v>
      </c>
      <c r="G22" s="26" t="n">
        <v>0.9</v>
      </c>
      <c r="H22" s="25" t="n">
        <v>1.8</v>
      </c>
      <c r="I22" s="22" t="s">
        <v>73</v>
      </c>
      <c r="J22" s="22" t="s">
        <v>74</v>
      </c>
      <c r="K22" s="23" t="s">
        <v>36</v>
      </c>
    </row>
    <row r="23" customFormat="false" ht="14.25" hidden="false" customHeight="true" outlineLevel="0" collapsed="false">
      <c r="A23" s="28"/>
      <c r="B23" s="6" t="s">
        <v>37</v>
      </c>
      <c r="C23" s="20" t="n">
        <v>1</v>
      </c>
      <c r="D23" s="20" t="n">
        <v>300</v>
      </c>
      <c r="E23" s="20" t="n">
        <v>365</v>
      </c>
      <c r="F23" s="20" t="s">
        <v>42</v>
      </c>
      <c r="G23" s="21" t="n">
        <v>0.18</v>
      </c>
      <c r="H23" s="20" t="n">
        <v>4.5</v>
      </c>
      <c r="I23" s="22" t="s">
        <v>43</v>
      </c>
      <c r="J23" s="27" t="s">
        <v>40</v>
      </c>
      <c r="K23" s="23" t="s">
        <v>36</v>
      </c>
    </row>
    <row r="24" customFormat="false" ht="14.25" hidden="false" customHeight="true" outlineLevel="0" collapsed="false">
      <c r="A24" s="24"/>
      <c r="B24" s="9" t="s">
        <v>45</v>
      </c>
      <c r="C24" s="25" t="n">
        <v>1</v>
      </c>
      <c r="D24" s="25" t="n">
        <v>280</v>
      </c>
      <c r="E24" s="25" t="n">
        <v>345</v>
      </c>
      <c r="F24" s="25" t="s">
        <v>75</v>
      </c>
      <c r="G24" s="26" t="n">
        <v>0.14</v>
      </c>
      <c r="H24" s="25" t="n">
        <v>4.67</v>
      </c>
      <c r="I24" s="22" t="s">
        <v>76</v>
      </c>
      <c r="J24" s="27" t="s">
        <v>40</v>
      </c>
      <c r="K24" s="23" t="s">
        <v>36</v>
      </c>
    </row>
    <row r="25" customFormat="false" ht="14.25" hidden="false" customHeight="true" outlineLevel="0" collapsed="false">
      <c r="A25" s="28"/>
      <c r="B25" s="6" t="s">
        <v>41</v>
      </c>
      <c r="C25" s="20" t="n">
        <v>2</v>
      </c>
      <c r="D25" s="20" t="n">
        <v>400</v>
      </c>
      <c r="E25" s="20" t="n">
        <v>550</v>
      </c>
      <c r="F25" s="20" t="s">
        <v>77</v>
      </c>
      <c r="G25" s="21" t="n">
        <v>0.08</v>
      </c>
      <c r="H25" s="20" t="n">
        <v>1.6</v>
      </c>
      <c r="I25" s="22" t="s">
        <v>78</v>
      </c>
      <c r="J25" s="22" t="s">
        <v>79</v>
      </c>
      <c r="K25" s="23" t="s">
        <v>36</v>
      </c>
    </row>
    <row r="26" customFormat="false" ht="14.25" hidden="false" customHeight="true" outlineLevel="0" collapsed="false">
      <c r="A26" s="30"/>
      <c r="B26" s="31" t="s">
        <v>80</v>
      </c>
      <c r="C26" s="32" t="n">
        <v>3</v>
      </c>
      <c r="D26" s="32" t="n">
        <v>500</v>
      </c>
      <c r="E26" s="32" t="n">
        <v>765</v>
      </c>
      <c r="F26" s="32" t="s">
        <v>81</v>
      </c>
      <c r="G26" s="33" t="n">
        <v>0.06</v>
      </c>
      <c r="H26" s="32" t="n">
        <v>2</v>
      </c>
      <c r="I26" s="34" t="s">
        <v>82</v>
      </c>
      <c r="J26" s="34" t="s">
        <v>83</v>
      </c>
      <c r="K26" s="35" t="s">
        <v>36</v>
      </c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8.71"/>
  </cols>
  <sheetData>
    <row r="1" customFormat="false" ht="25.5" hidden="false" customHeight="true" outlineLevel="0" collapsed="false">
      <c r="A1" s="15" t="s">
        <v>84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true" outlineLevel="0" collapsed="false">
      <c r="A2" s="36" t="s">
        <v>85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4.25" hidden="false" customHeight="true" outlineLevel="0" collapsed="false"/>
    <row r="4" customFormat="false" ht="14.25" hidden="false" customHeight="true" outlineLevel="0" collapsed="false">
      <c r="A4" s="37" t="s">
        <v>86</v>
      </c>
    </row>
    <row r="5" customFormat="false" ht="14.25" hidden="false" customHeight="true" outlineLevel="0" collapsed="false">
      <c r="A5" s="2" t="s">
        <v>87</v>
      </c>
      <c r="B5" s="3" t="s">
        <v>88</v>
      </c>
      <c r="C5" s="3" t="s">
        <v>89</v>
      </c>
      <c r="D5" s="3" t="s">
        <v>90</v>
      </c>
      <c r="E5" s="4" t="s">
        <v>91</v>
      </c>
    </row>
    <row r="6" customFormat="false" ht="14.25" hidden="false" customHeight="true" outlineLevel="0" collapsed="false">
      <c r="A6" s="28" t="s">
        <v>92</v>
      </c>
      <c r="B6" s="20" t="n">
        <v>80</v>
      </c>
      <c r="C6" s="20" t="n">
        <v>90</v>
      </c>
      <c r="D6" s="20" t="n">
        <v>70</v>
      </c>
      <c r="E6" s="38" t="n">
        <v>100</v>
      </c>
    </row>
    <row r="7" customFormat="false" ht="14.25" hidden="false" customHeight="true" outlineLevel="0" collapsed="false">
      <c r="A7" s="24" t="s">
        <v>93</v>
      </c>
      <c r="B7" s="25" t="n">
        <v>60</v>
      </c>
      <c r="C7" s="25" t="n">
        <v>80</v>
      </c>
      <c r="D7" s="25" t="n">
        <v>90</v>
      </c>
      <c r="E7" s="39" t="n">
        <v>70</v>
      </c>
    </row>
    <row r="8" customFormat="false" ht="14.25" hidden="false" customHeight="true" outlineLevel="0" collapsed="false">
      <c r="A8" s="40" t="s">
        <v>94</v>
      </c>
      <c r="B8" s="41" t="n">
        <v>50</v>
      </c>
      <c r="C8" s="41" t="n">
        <v>60</v>
      </c>
      <c r="D8" s="41" t="n">
        <v>80</v>
      </c>
      <c r="E8" s="42" t="n">
        <v>90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7" t="s">
        <v>95</v>
      </c>
    </row>
    <row r="11" customFormat="false" ht="14.25" hidden="false" customHeight="true" outlineLevel="0" collapsed="false">
      <c r="A11" s="2" t="s">
        <v>96</v>
      </c>
      <c r="B11" s="18" t="s">
        <v>32</v>
      </c>
      <c r="C11" s="18" t="s">
        <v>37</v>
      </c>
      <c r="D11" s="18" t="s">
        <v>41</v>
      </c>
      <c r="E11" s="19" t="s">
        <v>45</v>
      </c>
    </row>
    <row r="12" customFormat="false" ht="14.25" hidden="false" customHeight="true" outlineLevel="0" collapsed="false">
      <c r="A12" s="28" t="s">
        <v>92</v>
      </c>
      <c r="B12" s="20" t="n">
        <v>0</v>
      </c>
      <c r="C12" s="20" t="n">
        <v>1</v>
      </c>
      <c r="D12" s="20" t="n">
        <v>1</v>
      </c>
      <c r="E12" s="38" t="n">
        <v>0</v>
      </c>
    </row>
    <row r="13" customFormat="false" ht="14.25" hidden="false" customHeight="true" outlineLevel="0" collapsed="false">
      <c r="A13" s="24" t="s">
        <v>93</v>
      </c>
      <c r="B13" s="25" t="n">
        <v>0</v>
      </c>
      <c r="C13" s="25" t="n">
        <v>0</v>
      </c>
      <c r="D13" s="25" t="n">
        <v>0</v>
      </c>
      <c r="E13" s="39" t="n">
        <v>2</v>
      </c>
    </row>
    <row r="14" customFormat="false" ht="14.25" hidden="false" customHeight="true" outlineLevel="0" collapsed="false">
      <c r="A14" s="40" t="s">
        <v>94</v>
      </c>
      <c r="B14" s="41" t="n">
        <v>1</v>
      </c>
      <c r="C14" s="41" t="n">
        <v>0</v>
      </c>
      <c r="D14" s="41" t="n">
        <v>0</v>
      </c>
      <c r="E14" s="42" t="n">
        <v>0</v>
      </c>
    </row>
    <row r="15" customFormat="false" ht="14.25" hidden="false" customHeight="true" outlineLevel="0" collapsed="false"/>
    <row r="16" customFormat="false" ht="14.25" hidden="false" customHeight="true" outlineLevel="0" collapsed="false">
      <c r="A16" s="37" t="s">
        <v>97</v>
      </c>
    </row>
    <row r="17" customFormat="false" ht="14.25" hidden="false" customHeight="true" outlineLevel="0" collapsed="false">
      <c r="A17" s="2" t="s">
        <v>22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98</v>
      </c>
      <c r="G17" s="4" t="s">
        <v>99</v>
      </c>
    </row>
    <row r="18" customFormat="false" ht="14.25" hidden="false" customHeight="true" outlineLevel="0" collapsed="false">
      <c r="A18" s="28" t="s">
        <v>32</v>
      </c>
      <c r="B18" s="20" t="n">
        <v>50</v>
      </c>
      <c r="C18" s="20" t="n">
        <v>60</v>
      </c>
      <c r="D18" s="20" t="n">
        <v>80</v>
      </c>
      <c r="E18" s="20" t="n">
        <v>90</v>
      </c>
      <c r="F18" s="43" t="n">
        <v>280</v>
      </c>
      <c r="G18" s="44" t="n">
        <v>90</v>
      </c>
    </row>
    <row r="19" customFormat="false" ht="14.25" hidden="false" customHeight="true" outlineLevel="0" collapsed="false">
      <c r="A19" s="24" t="s">
        <v>37</v>
      </c>
      <c r="B19" s="25" t="n">
        <v>80</v>
      </c>
      <c r="C19" s="25" t="n">
        <v>90</v>
      </c>
      <c r="D19" s="25" t="n">
        <v>70</v>
      </c>
      <c r="E19" s="25" t="n">
        <v>100</v>
      </c>
      <c r="F19" s="45" t="n">
        <v>340</v>
      </c>
      <c r="G19" s="46" t="n">
        <v>100</v>
      </c>
    </row>
    <row r="20" customFormat="false" ht="14.25" hidden="false" customHeight="true" outlineLevel="0" collapsed="false">
      <c r="A20" s="28" t="s">
        <v>41</v>
      </c>
      <c r="B20" s="20" t="n">
        <v>80</v>
      </c>
      <c r="C20" s="20" t="n">
        <v>90</v>
      </c>
      <c r="D20" s="20" t="n">
        <v>70</v>
      </c>
      <c r="E20" s="20" t="n">
        <v>100</v>
      </c>
      <c r="F20" s="43" t="n">
        <v>340</v>
      </c>
      <c r="G20" s="44" t="n">
        <v>100</v>
      </c>
    </row>
    <row r="21" customFormat="false" ht="14.25" hidden="false" customHeight="true" outlineLevel="0" collapsed="false">
      <c r="A21" s="30" t="s">
        <v>45</v>
      </c>
      <c r="B21" s="32" t="n">
        <v>120</v>
      </c>
      <c r="C21" s="32" t="n">
        <v>160</v>
      </c>
      <c r="D21" s="32" t="n">
        <v>180</v>
      </c>
      <c r="E21" s="32" t="n">
        <v>140</v>
      </c>
      <c r="F21" s="47" t="n">
        <v>600</v>
      </c>
      <c r="G21" s="48" t="n">
        <v>180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37" t="s">
        <v>100</v>
      </c>
    </row>
    <row r="24" customFormat="false" ht="30" hidden="false" customHeight="true" outlineLevel="0" collapsed="false">
      <c r="A24" s="17" t="s">
        <v>22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8" t="s">
        <v>106</v>
      </c>
      <c r="H24" s="18" t="s">
        <v>107</v>
      </c>
      <c r="I24" s="18" t="s">
        <v>25</v>
      </c>
      <c r="J24" s="18" t="s">
        <v>26</v>
      </c>
      <c r="K24" s="18" t="s">
        <v>108</v>
      </c>
      <c r="L24" s="19" t="s">
        <v>109</v>
      </c>
    </row>
    <row r="25" customFormat="false" ht="14.25" hidden="false" customHeight="true" outlineLevel="0" collapsed="false">
      <c r="A25" s="28" t="s">
        <v>32</v>
      </c>
      <c r="B25" s="49" t="n">
        <v>5</v>
      </c>
      <c r="C25" s="49" t="n">
        <v>4.5</v>
      </c>
      <c r="D25" s="20" t="n">
        <v>120</v>
      </c>
      <c r="E25" s="20" t="n">
        <v>2</v>
      </c>
      <c r="F25" s="21" t="n">
        <v>0.3</v>
      </c>
      <c r="G25" s="49" t="n">
        <v>1</v>
      </c>
      <c r="H25" s="50" t="s">
        <v>110</v>
      </c>
      <c r="I25" s="20" t="n">
        <v>170</v>
      </c>
      <c r="J25" s="22" t="s">
        <v>33</v>
      </c>
      <c r="K25" s="51" t="n">
        <v>1.67</v>
      </c>
      <c r="L25" s="52" t="s">
        <v>111</v>
      </c>
    </row>
    <row r="26" customFormat="false" ht="14.25" hidden="false" customHeight="true" outlineLevel="0" collapsed="false">
      <c r="A26" s="24" t="s">
        <v>37</v>
      </c>
      <c r="B26" s="53" t="n">
        <v>1</v>
      </c>
      <c r="C26" s="53" t="n">
        <v>0.85</v>
      </c>
      <c r="D26" s="25" t="n">
        <v>85</v>
      </c>
      <c r="E26" s="25" t="n">
        <v>1</v>
      </c>
      <c r="F26" s="26" t="n">
        <v>0.05</v>
      </c>
      <c r="G26" s="53" t="n">
        <v>0.3</v>
      </c>
      <c r="H26" s="54" t="s">
        <v>112</v>
      </c>
      <c r="I26" s="25" t="n">
        <v>100</v>
      </c>
      <c r="J26" s="22" t="s">
        <v>38</v>
      </c>
      <c r="K26" s="55" t="s">
        <v>113</v>
      </c>
      <c r="L26" s="56" t="s">
        <v>113</v>
      </c>
    </row>
    <row r="27" customFormat="false" ht="14.25" hidden="false" customHeight="true" outlineLevel="0" collapsed="false">
      <c r="A27" s="28" t="s">
        <v>41</v>
      </c>
      <c r="B27" s="49" t="n">
        <v>0.5</v>
      </c>
      <c r="C27" s="49" t="n">
        <v>0.44</v>
      </c>
      <c r="D27" s="20" t="n">
        <v>140</v>
      </c>
      <c r="E27" s="20" t="n">
        <v>2</v>
      </c>
      <c r="F27" s="21" t="n">
        <v>0.04</v>
      </c>
      <c r="G27" s="49" t="n">
        <v>0.1</v>
      </c>
      <c r="H27" s="50" t="s">
        <v>114</v>
      </c>
      <c r="I27" s="20" t="n">
        <v>170</v>
      </c>
      <c r="J27" s="22" t="s">
        <v>42</v>
      </c>
      <c r="K27" s="51" t="n">
        <v>1.5</v>
      </c>
      <c r="L27" s="52" t="s">
        <v>111</v>
      </c>
    </row>
    <row r="28" customFormat="false" ht="14.25" hidden="false" customHeight="true" outlineLevel="0" collapsed="false">
      <c r="A28" s="30" t="s">
        <v>45</v>
      </c>
      <c r="B28" s="57" t="n">
        <v>0.8</v>
      </c>
      <c r="C28" s="57" t="n">
        <v>0.74</v>
      </c>
      <c r="D28" s="32" t="n">
        <v>160</v>
      </c>
      <c r="E28" s="32" t="n">
        <v>1</v>
      </c>
      <c r="F28" s="33" t="n">
        <v>0.03</v>
      </c>
      <c r="G28" s="57" t="n">
        <v>0.2</v>
      </c>
      <c r="H28" s="58" t="s">
        <v>115</v>
      </c>
      <c r="I28" s="32" t="n">
        <v>180</v>
      </c>
      <c r="J28" s="34" t="s">
        <v>46</v>
      </c>
      <c r="K28" s="59" t="s">
        <v>113</v>
      </c>
      <c r="L28" s="60" t="s">
        <v>113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37" t="s">
        <v>116</v>
      </c>
    </row>
    <row r="31" customFormat="false" ht="97.5" hidden="false" customHeight="true" outlineLevel="0" collapsed="false">
      <c r="A31" s="14" t="s">
        <v>117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A1:N1"/>
    <mergeCell ref="A2:N2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8.71"/>
  </cols>
  <sheetData>
    <row r="1" customFormat="false" ht="25.5" hidden="false" customHeight="true" outlineLevel="0" collapsed="false">
      <c r="A1" s="15" t="s">
        <v>118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true" outlineLevel="0" collapsed="false">
      <c r="A2" s="36" t="s">
        <v>119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4.25" hidden="false" customHeight="true" outlineLevel="0" collapsed="false"/>
    <row r="4" customFormat="false" ht="14.25" hidden="false" customHeight="true" outlineLevel="0" collapsed="false">
      <c r="A4" s="37" t="s">
        <v>86</v>
      </c>
    </row>
    <row r="5" customFormat="false" ht="14.25" hidden="false" customHeight="true" outlineLevel="0" collapsed="false">
      <c r="A5" s="2" t="s">
        <v>87</v>
      </c>
      <c r="B5" s="3" t="s">
        <v>88</v>
      </c>
      <c r="C5" s="3" t="s">
        <v>89</v>
      </c>
      <c r="D5" s="3" t="s">
        <v>90</v>
      </c>
      <c r="E5" s="4" t="s">
        <v>91</v>
      </c>
    </row>
    <row r="6" customFormat="false" ht="14.25" hidden="false" customHeight="true" outlineLevel="0" collapsed="false">
      <c r="A6" s="28" t="s">
        <v>92</v>
      </c>
      <c r="B6" s="20" t="n">
        <v>40</v>
      </c>
      <c r="C6" s="20" t="n">
        <v>35</v>
      </c>
      <c r="D6" s="20" t="n">
        <v>30</v>
      </c>
      <c r="E6" s="38" t="n">
        <v>40</v>
      </c>
    </row>
    <row r="7" customFormat="false" ht="14.25" hidden="false" customHeight="true" outlineLevel="0" collapsed="false">
      <c r="A7" s="24" t="s">
        <v>93</v>
      </c>
      <c r="B7" s="25" t="n">
        <v>30</v>
      </c>
      <c r="C7" s="25" t="n">
        <v>25</v>
      </c>
      <c r="D7" s="25" t="n">
        <v>35</v>
      </c>
      <c r="E7" s="39" t="n">
        <v>30</v>
      </c>
    </row>
    <row r="8" customFormat="false" ht="14.25" hidden="false" customHeight="true" outlineLevel="0" collapsed="false">
      <c r="A8" s="40" t="s">
        <v>94</v>
      </c>
      <c r="B8" s="41" t="n">
        <v>20</v>
      </c>
      <c r="C8" s="41" t="n">
        <v>25</v>
      </c>
      <c r="D8" s="41" t="n">
        <v>20</v>
      </c>
      <c r="E8" s="42" t="n">
        <v>25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7" t="s">
        <v>95</v>
      </c>
    </row>
    <row r="11" customFormat="false" ht="14.25" hidden="false" customHeight="true" outlineLevel="0" collapsed="false">
      <c r="A11" s="2" t="s">
        <v>96</v>
      </c>
      <c r="B11" s="18" t="s">
        <v>32</v>
      </c>
      <c r="C11" s="18" t="s">
        <v>37</v>
      </c>
      <c r="D11" s="18" t="s">
        <v>41</v>
      </c>
      <c r="E11" s="19" t="s">
        <v>45</v>
      </c>
    </row>
    <row r="12" customFormat="false" ht="14.25" hidden="false" customHeight="true" outlineLevel="0" collapsed="false">
      <c r="A12" s="28" t="s">
        <v>92</v>
      </c>
      <c r="B12" s="20" t="n">
        <v>0</v>
      </c>
      <c r="C12" s="20" t="n">
        <v>1</v>
      </c>
      <c r="D12" s="20" t="n">
        <v>1</v>
      </c>
      <c r="E12" s="38" t="n">
        <v>0</v>
      </c>
    </row>
    <row r="13" customFormat="false" ht="14.25" hidden="false" customHeight="true" outlineLevel="0" collapsed="false">
      <c r="A13" s="24" t="s">
        <v>93</v>
      </c>
      <c r="B13" s="25" t="n">
        <v>0</v>
      </c>
      <c r="C13" s="25" t="n">
        <v>0</v>
      </c>
      <c r="D13" s="25" t="n">
        <v>0</v>
      </c>
      <c r="E13" s="39" t="n">
        <v>2</v>
      </c>
    </row>
    <row r="14" customFormat="false" ht="14.25" hidden="false" customHeight="true" outlineLevel="0" collapsed="false">
      <c r="A14" s="40" t="s">
        <v>94</v>
      </c>
      <c r="B14" s="41" t="n">
        <v>1</v>
      </c>
      <c r="C14" s="41" t="n">
        <v>0</v>
      </c>
      <c r="D14" s="41" t="n">
        <v>0</v>
      </c>
      <c r="E14" s="42" t="n">
        <v>0</v>
      </c>
    </row>
    <row r="15" customFormat="false" ht="14.25" hidden="false" customHeight="true" outlineLevel="0" collapsed="false"/>
    <row r="16" customFormat="false" ht="14.25" hidden="false" customHeight="true" outlineLevel="0" collapsed="false">
      <c r="A16" s="37" t="s">
        <v>97</v>
      </c>
    </row>
    <row r="17" customFormat="false" ht="14.25" hidden="false" customHeight="true" outlineLevel="0" collapsed="false">
      <c r="A17" s="2" t="s">
        <v>22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98</v>
      </c>
      <c r="G17" s="4" t="s">
        <v>99</v>
      </c>
    </row>
    <row r="18" customFormat="false" ht="14.25" hidden="false" customHeight="true" outlineLevel="0" collapsed="false">
      <c r="A18" s="28" t="s">
        <v>32</v>
      </c>
      <c r="B18" s="20" t="n">
        <v>20</v>
      </c>
      <c r="C18" s="20" t="n">
        <v>25</v>
      </c>
      <c r="D18" s="20" t="n">
        <v>20</v>
      </c>
      <c r="E18" s="20" t="n">
        <v>25</v>
      </c>
      <c r="F18" s="43" t="n">
        <v>90</v>
      </c>
      <c r="G18" s="44" t="n">
        <v>25</v>
      </c>
    </row>
    <row r="19" customFormat="false" ht="14.25" hidden="false" customHeight="true" outlineLevel="0" collapsed="false">
      <c r="A19" s="24" t="s">
        <v>37</v>
      </c>
      <c r="B19" s="25" t="n">
        <v>40</v>
      </c>
      <c r="C19" s="25" t="n">
        <v>35</v>
      </c>
      <c r="D19" s="25" t="n">
        <v>30</v>
      </c>
      <c r="E19" s="25" t="n">
        <v>40</v>
      </c>
      <c r="F19" s="45" t="n">
        <v>145</v>
      </c>
      <c r="G19" s="46" t="n">
        <v>40</v>
      </c>
    </row>
    <row r="20" customFormat="false" ht="14.25" hidden="false" customHeight="true" outlineLevel="0" collapsed="false">
      <c r="A20" s="28" t="s">
        <v>41</v>
      </c>
      <c r="B20" s="20" t="n">
        <v>40</v>
      </c>
      <c r="C20" s="20" t="n">
        <v>35</v>
      </c>
      <c r="D20" s="20" t="n">
        <v>30</v>
      </c>
      <c r="E20" s="20" t="n">
        <v>40</v>
      </c>
      <c r="F20" s="43" t="n">
        <v>145</v>
      </c>
      <c r="G20" s="44" t="n">
        <v>40</v>
      </c>
    </row>
    <row r="21" customFormat="false" ht="14.25" hidden="false" customHeight="true" outlineLevel="0" collapsed="false">
      <c r="A21" s="30" t="s">
        <v>45</v>
      </c>
      <c r="B21" s="32" t="n">
        <v>60</v>
      </c>
      <c r="C21" s="32" t="n">
        <v>50</v>
      </c>
      <c r="D21" s="32" t="n">
        <v>70</v>
      </c>
      <c r="E21" s="32" t="n">
        <v>60</v>
      </c>
      <c r="F21" s="47" t="n">
        <v>240</v>
      </c>
      <c r="G21" s="48" t="n">
        <v>70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37" t="s">
        <v>100</v>
      </c>
    </row>
    <row r="24" customFormat="false" ht="30" hidden="false" customHeight="true" outlineLevel="0" collapsed="false">
      <c r="A24" s="17" t="s">
        <v>22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8" t="s">
        <v>106</v>
      </c>
      <c r="H24" s="18" t="s">
        <v>107</v>
      </c>
      <c r="I24" s="18" t="s">
        <v>25</v>
      </c>
      <c r="J24" s="18" t="s">
        <v>26</v>
      </c>
      <c r="K24" s="18" t="s">
        <v>108</v>
      </c>
      <c r="L24" s="19" t="s">
        <v>109</v>
      </c>
    </row>
    <row r="25" customFormat="false" ht="14.25" hidden="false" customHeight="true" outlineLevel="0" collapsed="false">
      <c r="A25" s="28" t="s">
        <v>32</v>
      </c>
      <c r="B25" s="49" t="n">
        <v>5</v>
      </c>
      <c r="C25" s="49" t="n">
        <v>4.5</v>
      </c>
      <c r="D25" s="20" t="n">
        <v>200</v>
      </c>
      <c r="E25" s="20" t="n">
        <v>1</v>
      </c>
      <c r="F25" s="21" t="n">
        <v>0.2</v>
      </c>
      <c r="G25" s="49" t="n">
        <v>2.5</v>
      </c>
      <c r="H25" s="50" t="s">
        <v>110</v>
      </c>
      <c r="I25" s="20" t="n">
        <v>25</v>
      </c>
      <c r="J25" s="29" t="s">
        <v>48</v>
      </c>
      <c r="K25" s="61" t="s">
        <v>113</v>
      </c>
      <c r="L25" s="62" t="s">
        <v>113</v>
      </c>
    </row>
    <row r="26" customFormat="false" ht="14.25" hidden="false" customHeight="true" outlineLevel="0" collapsed="false">
      <c r="A26" s="24" t="s">
        <v>37</v>
      </c>
      <c r="B26" s="53" t="n">
        <v>1</v>
      </c>
      <c r="C26" s="53" t="n">
        <v>0.85</v>
      </c>
      <c r="D26" s="25" t="n">
        <v>200</v>
      </c>
      <c r="E26" s="25" t="n">
        <v>1</v>
      </c>
      <c r="F26" s="26" t="n">
        <v>0.05</v>
      </c>
      <c r="G26" s="53" t="n">
        <v>0.8</v>
      </c>
      <c r="H26" s="54" t="s">
        <v>112</v>
      </c>
      <c r="I26" s="25" t="n">
        <v>40</v>
      </c>
      <c r="J26" s="29" t="s">
        <v>50</v>
      </c>
      <c r="K26" s="55" t="s">
        <v>113</v>
      </c>
      <c r="L26" s="56" t="s">
        <v>113</v>
      </c>
    </row>
    <row r="27" customFormat="false" ht="14.25" hidden="false" customHeight="true" outlineLevel="0" collapsed="false">
      <c r="A27" s="28" t="s">
        <v>41</v>
      </c>
      <c r="B27" s="49" t="n">
        <v>0.5</v>
      </c>
      <c r="C27" s="49" t="n">
        <v>0.44</v>
      </c>
      <c r="D27" s="20" t="n">
        <v>200</v>
      </c>
      <c r="E27" s="20" t="n">
        <v>1</v>
      </c>
      <c r="F27" s="21" t="n">
        <v>0.02</v>
      </c>
      <c r="G27" s="49" t="n">
        <v>0.4</v>
      </c>
      <c r="H27" s="50" t="s">
        <v>114</v>
      </c>
      <c r="I27" s="20" t="n">
        <v>40</v>
      </c>
      <c r="J27" s="29" t="s">
        <v>50</v>
      </c>
      <c r="K27" s="61" t="s">
        <v>113</v>
      </c>
      <c r="L27" s="62" t="s">
        <v>113</v>
      </c>
    </row>
    <row r="28" customFormat="false" ht="14.25" hidden="false" customHeight="true" outlineLevel="0" collapsed="false">
      <c r="A28" s="30" t="s">
        <v>45</v>
      </c>
      <c r="B28" s="57" t="n">
        <v>0.8</v>
      </c>
      <c r="C28" s="57" t="n">
        <v>0.74</v>
      </c>
      <c r="D28" s="32" t="n">
        <v>200</v>
      </c>
      <c r="E28" s="32" t="n">
        <v>1</v>
      </c>
      <c r="F28" s="33" t="n">
        <v>0.03</v>
      </c>
      <c r="G28" s="57" t="n">
        <v>0.7</v>
      </c>
      <c r="H28" s="58" t="s">
        <v>115</v>
      </c>
      <c r="I28" s="32" t="n">
        <v>70</v>
      </c>
      <c r="J28" s="63" t="s">
        <v>51</v>
      </c>
      <c r="K28" s="59" t="s">
        <v>113</v>
      </c>
      <c r="L28" s="60" t="s">
        <v>113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37" t="s">
        <v>116</v>
      </c>
    </row>
    <row r="31" customFormat="false" ht="97.5" hidden="false" customHeight="true" outlineLevel="0" collapsed="false">
      <c r="A31" s="14" t="s">
        <v>120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A1:N1"/>
    <mergeCell ref="A2:N2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8.71"/>
  </cols>
  <sheetData>
    <row r="1" customFormat="false" ht="25.5" hidden="false" customHeight="true" outlineLevel="0" collapsed="false">
      <c r="A1" s="15" t="s">
        <v>121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true" outlineLevel="0" collapsed="false">
      <c r="A2" s="36" t="s">
        <v>122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4.25" hidden="false" customHeight="true" outlineLevel="0" collapsed="false"/>
    <row r="4" customFormat="false" ht="14.25" hidden="false" customHeight="true" outlineLevel="0" collapsed="false">
      <c r="A4" s="37" t="s">
        <v>86</v>
      </c>
    </row>
    <row r="5" customFormat="false" ht="14.25" hidden="false" customHeight="true" outlineLevel="0" collapsed="false">
      <c r="A5" s="2" t="s">
        <v>87</v>
      </c>
      <c r="B5" s="3" t="s">
        <v>88</v>
      </c>
      <c r="C5" s="3" t="s">
        <v>89</v>
      </c>
      <c r="D5" s="3" t="s">
        <v>90</v>
      </c>
      <c r="E5" s="4" t="s">
        <v>91</v>
      </c>
    </row>
    <row r="6" customFormat="false" ht="14.25" hidden="false" customHeight="true" outlineLevel="0" collapsed="false">
      <c r="A6" s="28" t="s">
        <v>92</v>
      </c>
      <c r="B6" s="20" t="n">
        <v>20</v>
      </c>
      <c r="C6" s="20" t="n">
        <v>120</v>
      </c>
      <c r="D6" s="20" t="n">
        <v>20</v>
      </c>
      <c r="E6" s="38" t="n">
        <v>120</v>
      </c>
    </row>
    <row r="7" customFormat="false" ht="14.25" hidden="false" customHeight="true" outlineLevel="0" collapsed="false">
      <c r="A7" s="24" t="s">
        <v>93</v>
      </c>
      <c r="B7" s="25" t="n">
        <v>10</v>
      </c>
      <c r="C7" s="25" t="n">
        <v>80</v>
      </c>
      <c r="D7" s="25" t="n">
        <v>10</v>
      </c>
      <c r="E7" s="39" t="n">
        <v>80</v>
      </c>
    </row>
    <row r="8" customFormat="false" ht="14.25" hidden="false" customHeight="true" outlineLevel="0" collapsed="false">
      <c r="A8" s="40" t="s">
        <v>94</v>
      </c>
      <c r="B8" s="41" t="n">
        <v>15</v>
      </c>
      <c r="C8" s="41" t="n">
        <v>90</v>
      </c>
      <c r="D8" s="41" t="n">
        <v>15</v>
      </c>
      <c r="E8" s="42" t="n">
        <v>90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7" t="s">
        <v>95</v>
      </c>
    </row>
    <row r="11" customFormat="false" ht="14.25" hidden="false" customHeight="true" outlineLevel="0" collapsed="false">
      <c r="A11" s="2" t="s">
        <v>96</v>
      </c>
      <c r="B11" s="18" t="s">
        <v>32</v>
      </c>
      <c r="C11" s="18" t="s">
        <v>37</v>
      </c>
      <c r="D11" s="18" t="s">
        <v>41</v>
      </c>
      <c r="E11" s="19" t="s">
        <v>45</v>
      </c>
    </row>
    <row r="12" customFormat="false" ht="14.25" hidden="false" customHeight="true" outlineLevel="0" collapsed="false">
      <c r="A12" s="28" t="s">
        <v>92</v>
      </c>
      <c r="B12" s="20" t="n">
        <v>0</v>
      </c>
      <c r="C12" s="20" t="n">
        <v>1</v>
      </c>
      <c r="D12" s="20" t="n">
        <v>1</v>
      </c>
      <c r="E12" s="38" t="n">
        <v>0</v>
      </c>
    </row>
    <row r="13" customFormat="false" ht="14.25" hidden="false" customHeight="true" outlineLevel="0" collapsed="false">
      <c r="A13" s="24" t="s">
        <v>93</v>
      </c>
      <c r="B13" s="25" t="n">
        <v>0</v>
      </c>
      <c r="C13" s="25" t="n">
        <v>0</v>
      </c>
      <c r="D13" s="25" t="n">
        <v>0</v>
      </c>
      <c r="E13" s="39" t="n">
        <v>2</v>
      </c>
    </row>
    <row r="14" customFormat="false" ht="14.25" hidden="false" customHeight="true" outlineLevel="0" collapsed="false">
      <c r="A14" s="40" t="s">
        <v>94</v>
      </c>
      <c r="B14" s="41" t="n">
        <v>1</v>
      </c>
      <c r="C14" s="41" t="n">
        <v>0</v>
      </c>
      <c r="D14" s="41" t="n">
        <v>0</v>
      </c>
      <c r="E14" s="42" t="n">
        <v>0</v>
      </c>
    </row>
    <row r="15" customFormat="false" ht="14.25" hidden="false" customHeight="true" outlineLevel="0" collapsed="false"/>
    <row r="16" customFormat="false" ht="14.25" hidden="false" customHeight="true" outlineLevel="0" collapsed="false">
      <c r="A16" s="37" t="s">
        <v>97</v>
      </c>
    </row>
    <row r="17" customFormat="false" ht="14.25" hidden="false" customHeight="true" outlineLevel="0" collapsed="false">
      <c r="A17" s="2" t="s">
        <v>22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98</v>
      </c>
      <c r="G17" s="4" t="s">
        <v>99</v>
      </c>
    </row>
    <row r="18" customFormat="false" ht="14.25" hidden="false" customHeight="true" outlineLevel="0" collapsed="false">
      <c r="A18" s="28" t="s">
        <v>32</v>
      </c>
      <c r="B18" s="20" t="n">
        <v>15</v>
      </c>
      <c r="C18" s="20" t="n">
        <v>90</v>
      </c>
      <c r="D18" s="20" t="n">
        <v>15</v>
      </c>
      <c r="E18" s="20" t="n">
        <v>90</v>
      </c>
      <c r="F18" s="43" t="n">
        <v>210</v>
      </c>
      <c r="G18" s="44" t="n">
        <v>90</v>
      </c>
    </row>
    <row r="19" customFormat="false" ht="14.25" hidden="false" customHeight="true" outlineLevel="0" collapsed="false">
      <c r="A19" s="24" t="s">
        <v>37</v>
      </c>
      <c r="B19" s="25" t="n">
        <v>20</v>
      </c>
      <c r="C19" s="25" t="n">
        <v>120</v>
      </c>
      <c r="D19" s="25" t="n">
        <v>20</v>
      </c>
      <c r="E19" s="25" t="n">
        <v>120</v>
      </c>
      <c r="F19" s="45" t="n">
        <v>280</v>
      </c>
      <c r="G19" s="46" t="n">
        <v>120</v>
      </c>
    </row>
    <row r="20" customFormat="false" ht="14.25" hidden="false" customHeight="true" outlineLevel="0" collapsed="false">
      <c r="A20" s="28" t="s">
        <v>41</v>
      </c>
      <c r="B20" s="20" t="n">
        <v>20</v>
      </c>
      <c r="C20" s="20" t="n">
        <v>120</v>
      </c>
      <c r="D20" s="20" t="n">
        <v>20</v>
      </c>
      <c r="E20" s="20" t="n">
        <v>120</v>
      </c>
      <c r="F20" s="43" t="n">
        <v>280</v>
      </c>
      <c r="G20" s="44" t="n">
        <v>120</v>
      </c>
    </row>
    <row r="21" customFormat="false" ht="14.25" hidden="false" customHeight="true" outlineLevel="0" collapsed="false">
      <c r="A21" s="30" t="s">
        <v>45</v>
      </c>
      <c r="B21" s="32" t="n">
        <v>20</v>
      </c>
      <c r="C21" s="32" t="n">
        <v>160</v>
      </c>
      <c r="D21" s="32" t="n">
        <v>20</v>
      </c>
      <c r="E21" s="32" t="n">
        <v>160</v>
      </c>
      <c r="F21" s="47" t="n">
        <v>360</v>
      </c>
      <c r="G21" s="48" t="n">
        <v>160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37" t="s">
        <v>100</v>
      </c>
    </row>
    <row r="24" customFormat="false" ht="30" hidden="false" customHeight="true" outlineLevel="0" collapsed="false">
      <c r="A24" s="17" t="s">
        <v>22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8" t="s">
        <v>106</v>
      </c>
      <c r="H24" s="18" t="s">
        <v>107</v>
      </c>
      <c r="I24" s="18" t="s">
        <v>25</v>
      </c>
      <c r="J24" s="18" t="s">
        <v>26</v>
      </c>
      <c r="K24" s="18" t="s">
        <v>108</v>
      </c>
      <c r="L24" s="19" t="s">
        <v>109</v>
      </c>
    </row>
    <row r="25" customFormat="false" ht="14.25" hidden="false" customHeight="true" outlineLevel="0" collapsed="false">
      <c r="A25" s="28" t="s">
        <v>32</v>
      </c>
      <c r="B25" s="49" t="n">
        <v>5</v>
      </c>
      <c r="C25" s="49" t="n">
        <v>3.5</v>
      </c>
      <c r="D25" s="20" t="n">
        <v>100</v>
      </c>
      <c r="E25" s="20" t="n">
        <v>3</v>
      </c>
      <c r="F25" s="21" t="n">
        <v>0.6</v>
      </c>
      <c r="G25" s="49" t="n">
        <v>0.5</v>
      </c>
      <c r="H25" s="50" t="s">
        <v>123</v>
      </c>
      <c r="I25" s="20" t="n">
        <v>195</v>
      </c>
      <c r="J25" s="22" t="s">
        <v>52</v>
      </c>
      <c r="K25" s="51" t="n">
        <v>2.5</v>
      </c>
      <c r="L25" s="52" t="s">
        <v>111</v>
      </c>
    </row>
    <row r="26" customFormat="false" ht="14.25" hidden="false" customHeight="true" outlineLevel="0" collapsed="false">
      <c r="A26" s="24" t="s">
        <v>37</v>
      </c>
      <c r="B26" s="53" t="n">
        <v>1</v>
      </c>
      <c r="C26" s="53" t="n">
        <v>0.7</v>
      </c>
      <c r="D26" s="25" t="n">
        <v>100</v>
      </c>
      <c r="E26" s="25" t="n">
        <v>2</v>
      </c>
      <c r="F26" s="26" t="n">
        <v>0.2</v>
      </c>
      <c r="G26" s="53" t="n">
        <v>0.15</v>
      </c>
      <c r="H26" s="54" t="s">
        <v>123</v>
      </c>
      <c r="I26" s="25" t="n">
        <v>140</v>
      </c>
      <c r="J26" s="22" t="s">
        <v>33</v>
      </c>
      <c r="K26" s="64" t="n">
        <v>1.5</v>
      </c>
      <c r="L26" s="52" t="s">
        <v>111</v>
      </c>
    </row>
    <row r="27" customFormat="false" ht="14.25" hidden="false" customHeight="true" outlineLevel="0" collapsed="false">
      <c r="A27" s="28" t="s">
        <v>41</v>
      </c>
      <c r="B27" s="49" t="n">
        <v>0.5</v>
      </c>
      <c r="C27" s="49" t="n">
        <v>0.35</v>
      </c>
      <c r="D27" s="20" t="n">
        <v>150</v>
      </c>
      <c r="E27" s="20" t="n">
        <v>3</v>
      </c>
      <c r="F27" s="21" t="n">
        <v>0.08</v>
      </c>
      <c r="G27" s="49" t="n">
        <v>0.05</v>
      </c>
      <c r="H27" s="50" t="s">
        <v>123</v>
      </c>
      <c r="I27" s="20" t="n">
        <v>260</v>
      </c>
      <c r="J27" s="22" t="s">
        <v>55</v>
      </c>
      <c r="K27" s="51" t="n">
        <v>1.88</v>
      </c>
      <c r="L27" s="52" t="s">
        <v>111</v>
      </c>
    </row>
    <row r="28" customFormat="false" ht="14.25" hidden="false" customHeight="true" outlineLevel="0" collapsed="false">
      <c r="A28" s="30" t="s">
        <v>45</v>
      </c>
      <c r="B28" s="57" t="n">
        <v>0.8</v>
      </c>
      <c r="C28" s="57" t="n">
        <v>0.55</v>
      </c>
      <c r="D28" s="32" t="n">
        <v>100</v>
      </c>
      <c r="E28" s="32" t="n">
        <v>2</v>
      </c>
      <c r="F28" s="33" t="n">
        <v>0.16</v>
      </c>
      <c r="G28" s="57" t="n">
        <v>0.1</v>
      </c>
      <c r="H28" s="58" t="s">
        <v>124</v>
      </c>
      <c r="I28" s="32" t="n">
        <v>180</v>
      </c>
      <c r="J28" s="34" t="s">
        <v>58</v>
      </c>
      <c r="K28" s="65" t="n">
        <v>1.56</v>
      </c>
      <c r="L28" s="66" t="s">
        <v>111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37" t="s">
        <v>116</v>
      </c>
    </row>
    <row r="31" customFormat="false" ht="97.5" hidden="false" customHeight="true" outlineLevel="0" collapsed="false">
      <c r="A31" s="14" t="s">
        <v>125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A1:N1"/>
    <mergeCell ref="A2:N2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8.71"/>
  </cols>
  <sheetData>
    <row r="1" customFormat="false" ht="25.5" hidden="false" customHeight="true" outlineLevel="0" collapsed="false">
      <c r="A1" s="15" t="s">
        <v>126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true" outlineLevel="0" collapsed="false">
      <c r="A2" s="36" t="s">
        <v>127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4.25" hidden="false" customHeight="true" outlineLevel="0" collapsed="false"/>
    <row r="4" customFormat="false" ht="14.25" hidden="false" customHeight="true" outlineLevel="0" collapsed="false">
      <c r="A4" s="37" t="s">
        <v>86</v>
      </c>
    </row>
    <row r="5" customFormat="false" ht="14.25" hidden="false" customHeight="true" outlineLevel="0" collapsed="false">
      <c r="A5" s="2" t="s">
        <v>87</v>
      </c>
      <c r="B5" s="3" t="s">
        <v>88</v>
      </c>
      <c r="C5" s="3" t="s">
        <v>89</v>
      </c>
      <c r="D5" s="3" t="s">
        <v>90</v>
      </c>
      <c r="E5" s="4" t="s">
        <v>91</v>
      </c>
    </row>
    <row r="6" customFormat="false" ht="14.25" hidden="false" customHeight="true" outlineLevel="0" collapsed="false">
      <c r="A6" s="28" t="s">
        <v>92</v>
      </c>
      <c r="B6" s="20" t="n">
        <v>70</v>
      </c>
      <c r="C6" s="20" t="n">
        <v>70</v>
      </c>
      <c r="D6" s="20" t="n">
        <v>70</v>
      </c>
      <c r="E6" s="38" t="n">
        <v>70</v>
      </c>
    </row>
    <row r="7" customFormat="false" ht="14.25" hidden="false" customHeight="true" outlineLevel="0" collapsed="false">
      <c r="A7" s="24" t="s">
        <v>93</v>
      </c>
      <c r="B7" s="25" t="n">
        <v>50</v>
      </c>
      <c r="C7" s="25" t="n">
        <v>50</v>
      </c>
      <c r="D7" s="25" t="n">
        <v>50</v>
      </c>
      <c r="E7" s="39" t="n">
        <v>50</v>
      </c>
    </row>
    <row r="8" customFormat="false" ht="14.25" hidden="false" customHeight="true" outlineLevel="0" collapsed="false">
      <c r="A8" s="40" t="s">
        <v>94</v>
      </c>
      <c r="B8" s="41" t="n">
        <v>60</v>
      </c>
      <c r="C8" s="41" t="n">
        <v>60</v>
      </c>
      <c r="D8" s="41" t="n">
        <v>60</v>
      </c>
      <c r="E8" s="42" t="n">
        <v>60</v>
      </c>
    </row>
    <row r="9" customFormat="false" ht="14.25" hidden="false" customHeight="true" outlineLevel="0" collapsed="false"/>
    <row r="10" customFormat="false" ht="14.25" hidden="false" customHeight="true" outlineLevel="0" collapsed="false">
      <c r="A10" s="37" t="s">
        <v>95</v>
      </c>
    </row>
    <row r="11" customFormat="false" ht="14.25" hidden="false" customHeight="true" outlineLevel="0" collapsed="false">
      <c r="A11" s="2" t="s">
        <v>96</v>
      </c>
      <c r="B11" s="18" t="s">
        <v>32</v>
      </c>
      <c r="C11" s="18" t="s">
        <v>37</v>
      </c>
      <c r="D11" s="18" t="s">
        <v>41</v>
      </c>
      <c r="E11" s="19" t="s">
        <v>45</v>
      </c>
    </row>
    <row r="12" customFormat="false" ht="14.25" hidden="false" customHeight="true" outlineLevel="0" collapsed="false">
      <c r="A12" s="28" t="s">
        <v>92</v>
      </c>
      <c r="B12" s="20" t="n">
        <v>0</v>
      </c>
      <c r="C12" s="20" t="n">
        <v>1</v>
      </c>
      <c r="D12" s="20" t="n">
        <v>1</v>
      </c>
      <c r="E12" s="38" t="n">
        <v>0</v>
      </c>
    </row>
    <row r="13" customFormat="false" ht="14.25" hidden="false" customHeight="true" outlineLevel="0" collapsed="false">
      <c r="A13" s="24" t="s">
        <v>93</v>
      </c>
      <c r="B13" s="25" t="n">
        <v>0</v>
      </c>
      <c r="C13" s="25" t="n">
        <v>0</v>
      </c>
      <c r="D13" s="25" t="n">
        <v>0</v>
      </c>
      <c r="E13" s="39" t="n">
        <v>2</v>
      </c>
    </row>
    <row r="14" customFormat="false" ht="14.25" hidden="false" customHeight="true" outlineLevel="0" collapsed="false">
      <c r="A14" s="40" t="s">
        <v>94</v>
      </c>
      <c r="B14" s="41" t="n">
        <v>1</v>
      </c>
      <c r="C14" s="41" t="n">
        <v>0</v>
      </c>
      <c r="D14" s="41" t="n">
        <v>0</v>
      </c>
      <c r="E14" s="42" t="n">
        <v>0</v>
      </c>
    </row>
    <row r="15" customFormat="false" ht="14.25" hidden="false" customHeight="true" outlineLevel="0" collapsed="false"/>
    <row r="16" customFormat="false" ht="14.25" hidden="false" customHeight="true" outlineLevel="0" collapsed="false">
      <c r="A16" s="37" t="s">
        <v>97</v>
      </c>
    </row>
    <row r="17" customFormat="false" ht="14.25" hidden="false" customHeight="true" outlineLevel="0" collapsed="false">
      <c r="A17" s="2" t="s">
        <v>22</v>
      </c>
      <c r="B17" s="3" t="s">
        <v>88</v>
      </c>
      <c r="C17" s="3" t="s">
        <v>89</v>
      </c>
      <c r="D17" s="3" t="s">
        <v>90</v>
      </c>
      <c r="E17" s="3" t="s">
        <v>91</v>
      </c>
      <c r="F17" s="3" t="s">
        <v>98</v>
      </c>
      <c r="G17" s="4" t="s">
        <v>99</v>
      </c>
    </row>
    <row r="18" customFormat="false" ht="14.25" hidden="false" customHeight="true" outlineLevel="0" collapsed="false">
      <c r="A18" s="28" t="s">
        <v>32</v>
      </c>
      <c r="B18" s="20" t="n">
        <v>60</v>
      </c>
      <c r="C18" s="20" t="n">
        <v>60</v>
      </c>
      <c r="D18" s="20" t="n">
        <v>60</v>
      </c>
      <c r="E18" s="20" t="n">
        <v>60</v>
      </c>
      <c r="F18" s="43" t="n">
        <v>240</v>
      </c>
      <c r="G18" s="44" t="n">
        <v>60</v>
      </c>
    </row>
    <row r="19" customFormat="false" ht="14.25" hidden="false" customHeight="true" outlineLevel="0" collapsed="false">
      <c r="A19" s="24" t="s">
        <v>37</v>
      </c>
      <c r="B19" s="25" t="n">
        <v>70</v>
      </c>
      <c r="C19" s="25" t="n">
        <v>70</v>
      </c>
      <c r="D19" s="25" t="n">
        <v>70</v>
      </c>
      <c r="E19" s="25" t="n">
        <v>70</v>
      </c>
      <c r="F19" s="45" t="n">
        <v>280</v>
      </c>
      <c r="G19" s="46" t="n">
        <v>70</v>
      </c>
    </row>
    <row r="20" customFormat="false" ht="14.25" hidden="false" customHeight="true" outlineLevel="0" collapsed="false">
      <c r="A20" s="28" t="s">
        <v>41</v>
      </c>
      <c r="B20" s="20" t="n">
        <v>70</v>
      </c>
      <c r="C20" s="20" t="n">
        <v>70</v>
      </c>
      <c r="D20" s="20" t="n">
        <v>70</v>
      </c>
      <c r="E20" s="20" t="n">
        <v>70</v>
      </c>
      <c r="F20" s="43" t="n">
        <v>280</v>
      </c>
      <c r="G20" s="44" t="n">
        <v>70</v>
      </c>
    </row>
    <row r="21" customFormat="false" ht="14.25" hidden="false" customHeight="true" outlineLevel="0" collapsed="false">
      <c r="A21" s="30" t="s">
        <v>45</v>
      </c>
      <c r="B21" s="32" t="n">
        <v>100</v>
      </c>
      <c r="C21" s="32" t="n">
        <v>100</v>
      </c>
      <c r="D21" s="32" t="n">
        <v>100</v>
      </c>
      <c r="E21" s="32" t="n">
        <v>100</v>
      </c>
      <c r="F21" s="47" t="n">
        <v>400</v>
      </c>
      <c r="G21" s="48" t="n">
        <v>100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37" t="s">
        <v>100</v>
      </c>
    </row>
    <row r="24" customFormat="false" ht="30" hidden="false" customHeight="true" outlineLevel="0" collapsed="false">
      <c r="A24" s="17" t="s">
        <v>22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8" t="s">
        <v>106</v>
      </c>
      <c r="H24" s="18" t="s">
        <v>107</v>
      </c>
      <c r="I24" s="18" t="s">
        <v>25</v>
      </c>
      <c r="J24" s="18" t="s">
        <v>26</v>
      </c>
      <c r="K24" s="18" t="s">
        <v>108</v>
      </c>
      <c r="L24" s="19" t="s">
        <v>109</v>
      </c>
    </row>
    <row r="25" customFormat="false" ht="14.25" hidden="false" customHeight="true" outlineLevel="0" collapsed="false">
      <c r="A25" s="28" t="s">
        <v>32</v>
      </c>
      <c r="B25" s="49" t="n">
        <v>5</v>
      </c>
      <c r="C25" s="49" t="n">
        <v>4.5</v>
      </c>
      <c r="D25" s="20" t="n">
        <v>100</v>
      </c>
      <c r="E25" s="20" t="n">
        <v>2</v>
      </c>
      <c r="F25" s="21" t="n">
        <v>0.3</v>
      </c>
      <c r="G25" s="49" t="n">
        <v>1</v>
      </c>
      <c r="H25" s="50" t="s">
        <v>110</v>
      </c>
      <c r="I25" s="20" t="n">
        <v>120</v>
      </c>
      <c r="J25" s="22" t="s">
        <v>61</v>
      </c>
      <c r="K25" s="51" t="n">
        <v>1.67</v>
      </c>
      <c r="L25" s="52" t="s">
        <v>111</v>
      </c>
    </row>
    <row r="26" customFormat="false" ht="14.25" hidden="false" customHeight="true" outlineLevel="0" collapsed="false">
      <c r="A26" s="24" t="s">
        <v>37</v>
      </c>
      <c r="B26" s="53" t="n">
        <v>1</v>
      </c>
      <c r="C26" s="53" t="n">
        <v>0.85</v>
      </c>
      <c r="D26" s="25" t="n">
        <v>60</v>
      </c>
      <c r="E26" s="25" t="n">
        <v>1</v>
      </c>
      <c r="F26" s="26" t="n">
        <v>0.05</v>
      </c>
      <c r="G26" s="53" t="n">
        <v>0.3</v>
      </c>
      <c r="H26" s="54" t="s">
        <v>112</v>
      </c>
      <c r="I26" s="25" t="n">
        <v>70</v>
      </c>
      <c r="J26" s="22" t="s">
        <v>63</v>
      </c>
      <c r="K26" s="55" t="s">
        <v>113</v>
      </c>
      <c r="L26" s="56" t="s">
        <v>113</v>
      </c>
    </row>
    <row r="27" customFormat="false" ht="14.25" hidden="false" customHeight="true" outlineLevel="0" collapsed="false">
      <c r="A27" s="28" t="s">
        <v>41</v>
      </c>
      <c r="B27" s="49" t="n">
        <v>0.5</v>
      </c>
      <c r="C27" s="49" t="n">
        <v>0.44</v>
      </c>
      <c r="D27" s="20" t="n">
        <v>120</v>
      </c>
      <c r="E27" s="20" t="n">
        <v>2</v>
      </c>
      <c r="F27" s="21" t="n">
        <v>0.04</v>
      </c>
      <c r="G27" s="49" t="n">
        <v>0.1</v>
      </c>
      <c r="H27" s="50" t="s">
        <v>114</v>
      </c>
      <c r="I27" s="20" t="n">
        <v>140</v>
      </c>
      <c r="J27" s="22" t="s">
        <v>63</v>
      </c>
      <c r="K27" s="51" t="n">
        <v>1.5</v>
      </c>
      <c r="L27" s="52" t="s">
        <v>111</v>
      </c>
    </row>
    <row r="28" customFormat="false" ht="14.25" hidden="false" customHeight="true" outlineLevel="0" collapsed="false">
      <c r="A28" s="30" t="s">
        <v>45</v>
      </c>
      <c r="B28" s="57" t="n">
        <v>0.8</v>
      </c>
      <c r="C28" s="57" t="n">
        <v>0.74</v>
      </c>
      <c r="D28" s="32" t="n">
        <v>90</v>
      </c>
      <c r="E28" s="32" t="n">
        <v>1</v>
      </c>
      <c r="F28" s="33" t="n">
        <v>0.03</v>
      </c>
      <c r="G28" s="57" t="n">
        <v>0.2</v>
      </c>
      <c r="H28" s="58" t="s">
        <v>115</v>
      </c>
      <c r="I28" s="32" t="n">
        <v>100</v>
      </c>
      <c r="J28" s="34" t="s">
        <v>65</v>
      </c>
      <c r="K28" s="59" t="s">
        <v>113</v>
      </c>
      <c r="L28" s="60" t="s">
        <v>113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37" t="s">
        <v>116</v>
      </c>
    </row>
    <row r="31" customFormat="false" ht="97.5" hidden="false" customHeight="true" outlineLevel="0" collapsed="false">
      <c r="A31" s="14" t="s">
        <v>128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customFormat="false" ht="14.25" hidden="false" customHeight="true" outlineLevel="0" collapsed="false"/>
    <row r="33" customFormat="false" ht="14.25" hidden="false" customHeight="true" outlineLevel="0" collapsed="false">
      <c r="A33" s="37" t="s">
        <v>129</v>
      </c>
    </row>
    <row r="34" customFormat="false" ht="14.25" hidden="false" customHeight="true" outlineLevel="0" collapsed="false">
      <c r="A34" s="2" t="s">
        <v>130</v>
      </c>
      <c r="B34" s="3" t="s">
        <v>131</v>
      </c>
      <c r="C34" s="3" t="s">
        <v>132</v>
      </c>
      <c r="D34" s="3" t="s">
        <v>133</v>
      </c>
      <c r="E34" s="4" t="s">
        <v>134</v>
      </c>
    </row>
    <row r="35" customFormat="false" ht="14.25" hidden="false" customHeight="true" outlineLevel="0" collapsed="false">
      <c r="A35" s="67" t="s">
        <v>135</v>
      </c>
      <c r="B35" s="20" t="s">
        <v>136</v>
      </c>
      <c r="C35" s="20" t="s">
        <v>137</v>
      </c>
      <c r="D35" s="6" t="s">
        <v>138</v>
      </c>
      <c r="E35" s="7" t="s">
        <v>139</v>
      </c>
    </row>
    <row r="36" customFormat="false" ht="14.25" hidden="false" customHeight="true" outlineLevel="0" collapsed="false">
      <c r="A36" s="68" t="s">
        <v>140</v>
      </c>
      <c r="B36" s="25" t="s">
        <v>136</v>
      </c>
      <c r="C36" s="25" t="s">
        <v>141</v>
      </c>
      <c r="D36" s="9" t="s">
        <v>142</v>
      </c>
      <c r="E36" s="10" t="s">
        <v>143</v>
      </c>
    </row>
    <row r="37" customFormat="false" ht="14.25" hidden="false" customHeight="true" outlineLevel="0" collapsed="false">
      <c r="A37" s="67" t="s">
        <v>144</v>
      </c>
      <c r="B37" s="20" t="s">
        <v>136</v>
      </c>
      <c r="C37" s="20" t="s">
        <v>145</v>
      </c>
      <c r="D37" s="6" t="s">
        <v>146</v>
      </c>
      <c r="E37" s="7" t="s">
        <v>147</v>
      </c>
    </row>
    <row r="38" customFormat="false" ht="14.25" hidden="false" customHeight="true" outlineLevel="0" collapsed="false">
      <c r="A38" s="68" t="s">
        <v>148</v>
      </c>
      <c r="B38" s="25" t="s">
        <v>136</v>
      </c>
      <c r="C38" s="25" t="s">
        <v>149</v>
      </c>
      <c r="D38" s="9" t="s">
        <v>150</v>
      </c>
      <c r="E38" s="69" t="s">
        <v>151</v>
      </c>
    </row>
    <row r="39" customFormat="false" ht="14.25" hidden="false" customHeight="true" outlineLevel="0" collapsed="false">
      <c r="A39" s="67" t="s">
        <v>152</v>
      </c>
      <c r="B39" s="20" t="s">
        <v>105</v>
      </c>
      <c r="C39" s="20" t="s">
        <v>137</v>
      </c>
      <c r="D39" s="6" t="s">
        <v>153</v>
      </c>
      <c r="E39" s="7" t="s">
        <v>154</v>
      </c>
    </row>
    <row r="40" customFormat="false" ht="14.25" hidden="false" customHeight="true" outlineLevel="0" collapsed="false">
      <c r="A40" s="68" t="s">
        <v>155</v>
      </c>
      <c r="B40" s="25" t="s">
        <v>105</v>
      </c>
      <c r="C40" s="25" t="s">
        <v>145</v>
      </c>
      <c r="D40" s="9" t="s">
        <v>156</v>
      </c>
      <c r="E40" s="10" t="s">
        <v>157</v>
      </c>
    </row>
    <row r="41" customFormat="false" ht="14.25" hidden="false" customHeight="true" outlineLevel="0" collapsed="false">
      <c r="A41" s="67" t="s">
        <v>158</v>
      </c>
      <c r="B41" s="20" t="s">
        <v>105</v>
      </c>
      <c r="C41" s="20" t="s">
        <v>149</v>
      </c>
      <c r="D41" s="6" t="s">
        <v>159</v>
      </c>
      <c r="E41" s="7" t="s">
        <v>160</v>
      </c>
    </row>
    <row r="42" customFormat="false" ht="14.25" hidden="false" customHeight="true" outlineLevel="0" collapsed="false">
      <c r="A42" s="68" t="s">
        <v>161</v>
      </c>
      <c r="B42" s="25" t="s">
        <v>103</v>
      </c>
      <c r="C42" s="25" t="s">
        <v>137</v>
      </c>
      <c r="D42" s="9" t="s">
        <v>162</v>
      </c>
      <c r="E42" s="10" t="s">
        <v>163</v>
      </c>
    </row>
    <row r="43" customFormat="false" ht="14.25" hidden="false" customHeight="true" outlineLevel="0" collapsed="false">
      <c r="A43" s="67" t="s">
        <v>164</v>
      </c>
      <c r="B43" s="20" t="s">
        <v>103</v>
      </c>
      <c r="C43" s="20" t="s">
        <v>165</v>
      </c>
      <c r="D43" s="6" t="s">
        <v>166</v>
      </c>
      <c r="E43" s="7" t="s">
        <v>167</v>
      </c>
    </row>
    <row r="44" customFormat="false" ht="14.25" hidden="false" customHeight="true" outlineLevel="0" collapsed="false">
      <c r="A44" s="70" t="s">
        <v>168</v>
      </c>
      <c r="B44" s="32" t="s">
        <v>103</v>
      </c>
      <c r="C44" s="32" t="s">
        <v>145</v>
      </c>
      <c r="D44" s="31" t="s">
        <v>169</v>
      </c>
      <c r="E44" s="71" t="s">
        <v>170</v>
      </c>
    </row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A1:N1"/>
    <mergeCell ref="A2:N2"/>
    <mergeCell ref="A31:N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8.71"/>
  </cols>
  <sheetData>
    <row r="1" customFormat="false" ht="25.5" hidden="false" customHeight="true" outlineLevel="0" collapsed="false">
      <c r="A1" s="15" t="s">
        <v>171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customFormat="false" ht="14.25" hidden="false" customHeight="true" outlineLevel="0" collapsed="false">
      <c r="A2" s="36" t="s">
        <v>172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customFormat="false" ht="14.25" hidden="false" customHeight="true" outlineLevel="0" collapsed="false"/>
    <row r="4" customFormat="false" ht="14.25" hidden="false" customHeight="true" outlineLevel="0" collapsed="false">
      <c r="A4" s="37" t="s">
        <v>86</v>
      </c>
    </row>
    <row r="5" customFormat="false" ht="14.25" hidden="false" customHeight="true" outlineLevel="0" collapsed="false">
      <c r="A5" s="2" t="s">
        <v>87</v>
      </c>
      <c r="B5" s="3" t="s">
        <v>88</v>
      </c>
      <c r="C5" s="3" t="s">
        <v>89</v>
      </c>
      <c r="D5" s="3" t="s">
        <v>90</v>
      </c>
      <c r="E5" s="4" t="s">
        <v>91</v>
      </c>
    </row>
    <row r="6" customFormat="false" ht="14.25" hidden="false" customHeight="true" outlineLevel="0" collapsed="false">
      <c r="A6" s="28" t="s">
        <v>173</v>
      </c>
      <c r="B6" s="20" t="n">
        <v>80</v>
      </c>
      <c r="C6" s="20" t="n">
        <v>95</v>
      </c>
      <c r="D6" s="20" t="n">
        <v>70</v>
      </c>
      <c r="E6" s="38" t="n">
        <v>110</v>
      </c>
    </row>
    <row r="7" customFormat="false" ht="14.25" hidden="false" customHeight="true" outlineLevel="0" collapsed="false">
      <c r="A7" s="24" t="s">
        <v>174</v>
      </c>
      <c r="B7" s="25" t="n">
        <v>70</v>
      </c>
      <c r="C7" s="25" t="n">
        <v>80</v>
      </c>
      <c r="D7" s="25" t="n">
        <v>90</v>
      </c>
      <c r="E7" s="39" t="n">
        <v>85</v>
      </c>
    </row>
    <row r="8" customFormat="false" ht="14.25" hidden="false" customHeight="true" outlineLevel="0" collapsed="false">
      <c r="A8" s="28" t="s">
        <v>175</v>
      </c>
      <c r="B8" s="20" t="n">
        <v>60</v>
      </c>
      <c r="C8" s="20" t="n">
        <v>75</v>
      </c>
      <c r="D8" s="20" t="n">
        <v>65</v>
      </c>
      <c r="E8" s="38" t="n">
        <v>80</v>
      </c>
    </row>
    <row r="9" customFormat="false" ht="14.25" hidden="false" customHeight="true" outlineLevel="0" collapsed="false">
      <c r="A9" s="24" t="s">
        <v>176</v>
      </c>
      <c r="B9" s="25" t="n">
        <v>55</v>
      </c>
      <c r="C9" s="25" t="n">
        <v>60</v>
      </c>
      <c r="D9" s="25" t="n">
        <v>70</v>
      </c>
      <c r="E9" s="39" t="n">
        <v>65</v>
      </c>
    </row>
    <row r="10" customFormat="false" ht="14.25" hidden="false" customHeight="true" outlineLevel="0" collapsed="false">
      <c r="A10" s="28" t="s">
        <v>177</v>
      </c>
      <c r="B10" s="20" t="n">
        <v>90</v>
      </c>
      <c r="C10" s="20" t="n">
        <v>85</v>
      </c>
      <c r="D10" s="20" t="n">
        <v>95</v>
      </c>
      <c r="E10" s="38" t="n">
        <v>100</v>
      </c>
    </row>
    <row r="11" customFormat="false" ht="14.25" hidden="false" customHeight="true" outlineLevel="0" collapsed="false">
      <c r="A11" s="30" t="s">
        <v>178</v>
      </c>
      <c r="B11" s="32" t="n">
        <v>75</v>
      </c>
      <c r="C11" s="32" t="n">
        <v>80</v>
      </c>
      <c r="D11" s="32" t="n">
        <v>85</v>
      </c>
      <c r="E11" s="72" t="n">
        <v>90</v>
      </c>
    </row>
    <row r="12" customFormat="false" ht="14.25" hidden="false" customHeight="true" outlineLevel="0" collapsed="false"/>
    <row r="13" customFormat="false" ht="14.25" hidden="false" customHeight="true" outlineLevel="0" collapsed="false">
      <c r="A13" s="37" t="s">
        <v>95</v>
      </c>
    </row>
    <row r="14" customFormat="false" ht="14.25" hidden="false" customHeight="true" outlineLevel="0" collapsed="false">
      <c r="A14" s="2" t="s">
        <v>96</v>
      </c>
      <c r="B14" s="18" t="s">
        <v>67</v>
      </c>
      <c r="C14" s="18" t="s">
        <v>71</v>
      </c>
      <c r="D14" s="18" t="s">
        <v>37</v>
      </c>
      <c r="E14" s="18" t="s">
        <v>45</v>
      </c>
      <c r="F14" s="18" t="s">
        <v>41</v>
      </c>
      <c r="G14" s="19" t="s">
        <v>80</v>
      </c>
    </row>
    <row r="15" customFormat="false" ht="14.25" hidden="false" customHeight="true" outlineLevel="0" collapsed="false">
      <c r="A15" s="28" t="s">
        <v>173</v>
      </c>
      <c r="B15" s="20" t="n">
        <v>0</v>
      </c>
      <c r="C15" s="20" t="n">
        <v>0</v>
      </c>
      <c r="D15" s="20" t="n">
        <v>2</v>
      </c>
      <c r="E15" s="20" t="n">
        <v>1</v>
      </c>
      <c r="F15" s="20" t="n">
        <v>1</v>
      </c>
      <c r="G15" s="38" t="n">
        <v>0</v>
      </c>
    </row>
    <row r="16" customFormat="false" ht="14.25" hidden="false" customHeight="true" outlineLevel="0" collapsed="false">
      <c r="A16" s="24" t="s">
        <v>174</v>
      </c>
      <c r="B16" s="25" t="n">
        <v>1</v>
      </c>
      <c r="C16" s="25" t="n">
        <v>0</v>
      </c>
      <c r="D16" s="25" t="n">
        <v>0</v>
      </c>
      <c r="E16" s="25" t="n">
        <v>2</v>
      </c>
      <c r="F16" s="25" t="n">
        <v>0</v>
      </c>
      <c r="G16" s="39" t="n">
        <v>1</v>
      </c>
    </row>
    <row r="17" customFormat="false" ht="14.25" hidden="false" customHeight="true" outlineLevel="0" collapsed="false">
      <c r="A17" s="28" t="s">
        <v>175</v>
      </c>
      <c r="B17" s="20" t="n">
        <v>0</v>
      </c>
      <c r="C17" s="20" t="n">
        <v>1</v>
      </c>
      <c r="D17" s="20" t="n">
        <v>1</v>
      </c>
      <c r="E17" s="20" t="n">
        <v>0</v>
      </c>
      <c r="F17" s="20" t="n">
        <v>0</v>
      </c>
      <c r="G17" s="38" t="n">
        <v>0</v>
      </c>
    </row>
    <row r="18" customFormat="false" ht="14.25" hidden="false" customHeight="true" outlineLevel="0" collapsed="false">
      <c r="A18" s="24" t="s">
        <v>176</v>
      </c>
      <c r="B18" s="25" t="n">
        <v>1</v>
      </c>
      <c r="C18" s="25" t="n">
        <v>0</v>
      </c>
      <c r="D18" s="25" t="n">
        <v>1</v>
      </c>
      <c r="E18" s="25" t="n">
        <v>1</v>
      </c>
      <c r="F18" s="25" t="n">
        <v>0</v>
      </c>
      <c r="G18" s="39" t="n">
        <v>0</v>
      </c>
    </row>
    <row r="19" customFormat="false" ht="14.25" hidden="false" customHeight="true" outlineLevel="0" collapsed="false">
      <c r="A19" s="28" t="s">
        <v>177</v>
      </c>
      <c r="B19" s="20" t="n">
        <v>0</v>
      </c>
      <c r="C19" s="20" t="n">
        <v>1</v>
      </c>
      <c r="D19" s="20" t="n">
        <v>0</v>
      </c>
      <c r="E19" s="20" t="n">
        <v>0</v>
      </c>
      <c r="F19" s="20" t="n">
        <v>1</v>
      </c>
      <c r="G19" s="38" t="n">
        <v>0</v>
      </c>
    </row>
    <row r="20" customFormat="false" ht="14.25" hidden="false" customHeight="true" outlineLevel="0" collapsed="false">
      <c r="A20" s="30" t="s">
        <v>178</v>
      </c>
      <c r="B20" s="32" t="n">
        <v>1</v>
      </c>
      <c r="C20" s="32" t="n">
        <v>0</v>
      </c>
      <c r="D20" s="32" t="n">
        <v>0</v>
      </c>
      <c r="E20" s="32" t="n">
        <v>0</v>
      </c>
      <c r="F20" s="32" t="n">
        <v>1</v>
      </c>
      <c r="G20" s="72" t="n">
        <v>2</v>
      </c>
    </row>
    <row r="21" customFormat="false" ht="14.25" hidden="false" customHeight="true" outlineLevel="0" collapsed="false"/>
    <row r="22" customFormat="false" ht="14.25" hidden="false" customHeight="true" outlineLevel="0" collapsed="false">
      <c r="A22" s="37" t="s">
        <v>97</v>
      </c>
    </row>
    <row r="23" customFormat="false" ht="14.25" hidden="false" customHeight="true" outlineLevel="0" collapsed="false">
      <c r="A23" s="2" t="s">
        <v>22</v>
      </c>
      <c r="B23" s="3" t="s">
        <v>88</v>
      </c>
      <c r="C23" s="3" t="s">
        <v>89</v>
      </c>
      <c r="D23" s="3" t="s">
        <v>90</v>
      </c>
      <c r="E23" s="3" t="s">
        <v>91</v>
      </c>
      <c r="F23" s="3" t="s">
        <v>98</v>
      </c>
      <c r="G23" s="4" t="s">
        <v>99</v>
      </c>
    </row>
    <row r="24" customFormat="false" ht="14.25" hidden="false" customHeight="true" outlineLevel="0" collapsed="false">
      <c r="A24" s="28" t="s">
        <v>67</v>
      </c>
      <c r="B24" s="20" t="n">
        <v>200</v>
      </c>
      <c r="C24" s="20" t="n">
        <v>220</v>
      </c>
      <c r="D24" s="20" t="n">
        <v>245</v>
      </c>
      <c r="E24" s="20" t="n">
        <v>240</v>
      </c>
      <c r="F24" s="43" t="n">
        <v>905</v>
      </c>
      <c r="G24" s="44" t="n">
        <v>245</v>
      </c>
    </row>
    <row r="25" customFormat="false" ht="14.25" hidden="false" customHeight="true" outlineLevel="0" collapsed="false">
      <c r="A25" s="24" t="s">
        <v>71</v>
      </c>
      <c r="B25" s="25" t="n">
        <v>150</v>
      </c>
      <c r="C25" s="25" t="n">
        <v>160</v>
      </c>
      <c r="D25" s="25" t="n">
        <v>160</v>
      </c>
      <c r="E25" s="25" t="n">
        <v>180</v>
      </c>
      <c r="F25" s="45" t="n">
        <v>650</v>
      </c>
      <c r="G25" s="46" t="n">
        <v>180</v>
      </c>
    </row>
    <row r="26" customFormat="false" ht="14.25" hidden="false" customHeight="true" outlineLevel="0" collapsed="false">
      <c r="A26" s="28" t="s">
        <v>37</v>
      </c>
      <c r="B26" s="20" t="n">
        <v>275</v>
      </c>
      <c r="C26" s="20" t="n">
        <v>325</v>
      </c>
      <c r="D26" s="20" t="n">
        <v>275</v>
      </c>
      <c r="E26" s="20" t="n">
        <v>365</v>
      </c>
      <c r="F26" s="43" t="n">
        <v>1240</v>
      </c>
      <c r="G26" s="44" t="n">
        <v>365</v>
      </c>
    </row>
    <row r="27" customFormat="false" ht="14.25" hidden="false" customHeight="true" outlineLevel="0" collapsed="false">
      <c r="A27" s="24" t="s">
        <v>45</v>
      </c>
      <c r="B27" s="25" t="n">
        <v>275</v>
      </c>
      <c r="C27" s="25" t="n">
        <v>315</v>
      </c>
      <c r="D27" s="25" t="n">
        <v>320</v>
      </c>
      <c r="E27" s="25" t="n">
        <v>345</v>
      </c>
      <c r="F27" s="45" t="n">
        <v>1255</v>
      </c>
      <c r="G27" s="46" t="n">
        <v>345</v>
      </c>
    </row>
    <row r="28" customFormat="false" ht="14.25" hidden="false" customHeight="true" outlineLevel="0" collapsed="false">
      <c r="A28" s="28" t="s">
        <v>41</v>
      </c>
      <c r="B28" s="20" t="n">
        <v>245</v>
      </c>
      <c r="C28" s="20" t="n">
        <v>260</v>
      </c>
      <c r="D28" s="20" t="n">
        <v>250</v>
      </c>
      <c r="E28" s="20" t="n">
        <v>300</v>
      </c>
      <c r="F28" s="43" t="n">
        <v>1055</v>
      </c>
      <c r="G28" s="44" t="n">
        <v>300</v>
      </c>
    </row>
    <row r="29" customFormat="false" ht="14.25" hidden="false" customHeight="true" outlineLevel="0" collapsed="false">
      <c r="A29" s="30" t="s">
        <v>80</v>
      </c>
      <c r="B29" s="32" t="n">
        <v>220</v>
      </c>
      <c r="C29" s="32" t="n">
        <v>240</v>
      </c>
      <c r="D29" s="32" t="n">
        <v>260</v>
      </c>
      <c r="E29" s="32" t="n">
        <v>265</v>
      </c>
      <c r="F29" s="47" t="n">
        <v>985</v>
      </c>
      <c r="G29" s="48" t="n">
        <v>265</v>
      </c>
    </row>
    <row r="30" customFormat="false" ht="14.25" hidden="false" customHeight="true" outlineLevel="0" collapsed="false"/>
    <row r="31" customFormat="false" ht="14.25" hidden="false" customHeight="true" outlineLevel="0" collapsed="false">
      <c r="A31" s="37" t="s">
        <v>100</v>
      </c>
    </row>
    <row r="32" customFormat="false" ht="30" hidden="false" customHeight="true" outlineLevel="0" collapsed="false">
      <c r="A32" s="17" t="s">
        <v>22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8" t="s">
        <v>106</v>
      </c>
      <c r="H32" s="18" t="s">
        <v>107</v>
      </c>
      <c r="I32" s="18" t="s">
        <v>25</v>
      </c>
      <c r="J32" s="18" t="s">
        <v>26</v>
      </c>
      <c r="K32" s="18" t="s">
        <v>108</v>
      </c>
      <c r="L32" s="19" t="s">
        <v>109</v>
      </c>
    </row>
    <row r="33" customFormat="false" ht="14.25" hidden="false" customHeight="true" outlineLevel="0" collapsed="false">
      <c r="A33" s="28" t="s">
        <v>67</v>
      </c>
      <c r="B33" s="49" t="n">
        <v>4.5</v>
      </c>
      <c r="C33" s="49" t="n">
        <v>3.85</v>
      </c>
      <c r="D33" s="20" t="n">
        <v>200</v>
      </c>
      <c r="E33" s="20" t="n">
        <v>2</v>
      </c>
      <c r="F33" s="21" t="n">
        <v>0.4</v>
      </c>
      <c r="G33" s="49" t="n">
        <v>1.2</v>
      </c>
      <c r="H33" s="50" t="s">
        <v>179</v>
      </c>
      <c r="I33" s="20" t="n">
        <v>485</v>
      </c>
      <c r="J33" s="22" t="s">
        <v>68</v>
      </c>
      <c r="K33" s="51" t="n">
        <v>1.62</v>
      </c>
      <c r="L33" s="52" t="s">
        <v>111</v>
      </c>
    </row>
    <row r="34" customFormat="false" ht="14.25" hidden="false" customHeight="true" outlineLevel="0" collapsed="false">
      <c r="A34" s="24" t="s">
        <v>71</v>
      </c>
      <c r="B34" s="53" t="n">
        <v>6</v>
      </c>
      <c r="C34" s="53" t="n">
        <v>5.1</v>
      </c>
      <c r="D34" s="25" t="n">
        <v>150</v>
      </c>
      <c r="E34" s="25" t="n">
        <v>2</v>
      </c>
      <c r="F34" s="26" t="n">
        <v>0.5</v>
      </c>
      <c r="G34" s="53" t="n">
        <v>1.8</v>
      </c>
      <c r="H34" s="54" t="s">
        <v>112</v>
      </c>
      <c r="I34" s="25" t="n">
        <v>340</v>
      </c>
      <c r="J34" s="22" t="s">
        <v>72</v>
      </c>
      <c r="K34" s="64" t="n">
        <v>1.8</v>
      </c>
      <c r="L34" s="52" t="s">
        <v>111</v>
      </c>
    </row>
    <row r="35" customFormat="false" ht="14.25" hidden="false" customHeight="true" outlineLevel="0" collapsed="false">
      <c r="A35" s="28" t="s">
        <v>37</v>
      </c>
      <c r="B35" s="49" t="n">
        <v>1</v>
      </c>
      <c r="C35" s="49" t="n">
        <v>0.82</v>
      </c>
      <c r="D35" s="20" t="n">
        <v>300</v>
      </c>
      <c r="E35" s="20" t="n">
        <v>1</v>
      </c>
      <c r="F35" s="21" t="n">
        <v>0.04</v>
      </c>
      <c r="G35" s="49" t="n">
        <v>0.25</v>
      </c>
      <c r="H35" s="50" t="s">
        <v>180</v>
      </c>
      <c r="I35" s="20" t="n">
        <v>365</v>
      </c>
      <c r="J35" s="22" t="s">
        <v>42</v>
      </c>
      <c r="K35" s="61" t="s">
        <v>113</v>
      </c>
      <c r="L35" s="62" t="s">
        <v>113</v>
      </c>
    </row>
    <row r="36" customFormat="false" ht="14.25" hidden="false" customHeight="true" outlineLevel="0" collapsed="false">
      <c r="A36" s="24" t="s">
        <v>45</v>
      </c>
      <c r="B36" s="53" t="n">
        <v>0.8</v>
      </c>
      <c r="C36" s="53" t="n">
        <v>0.66</v>
      </c>
      <c r="D36" s="25" t="n">
        <v>280</v>
      </c>
      <c r="E36" s="25" t="n">
        <v>1</v>
      </c>
      <c r="F36" s="26" t="n">
        <v>0.03</v>
      </c>
      <c r="G36" s="53" t="n">
        <v>0.18</v>
      </c>
      <c r="H36" s="54" t="s">
        <v>181</v>
      </c>
      <c r="I36" s="25" t="n">
        <v>345</v>
      </c>
      <c r="J36" s="22" t="s">
        <v>75</v>
      </c>
      <c r="K36" s="55" t="s">
        <v>113</v>
      </c>
      <c r="L36" s="56" t="s">
        <v>113</v>
      </c>
    </row>
    <row r="37" customFormat="false" ht="14.25" hidden="false" customHeight="true" outlineLevel="0" collapsed="false">
      <c r="A37" s="28" t="s">
        <v>41</v>
      </c>
      <c r="B37" s="49" t="n">
        <v>0.5</v>
      </c>
      <c r="C37" s="49" t="n">
        <v>0.42</v>
      </c>
      <c r="D37" s="20" t="n">
        <v>400</v>
      </c>
      <c r="E37" s="20" t="n">
        <v>2</v>
      </c>
      <c r="F37" s="21" t="n">
        <v>0.05</v>
      </c>
      <c r="G37" s="49" t="n">
        <v>0.08</v>
      </c>
      <c r="H37" s="50" t="s">
        <v>182</v>
      </c>
      <c r="I37" s="20" t="n">
        <v>550</v>
      </c>
      <c r="J37" s="22" t="s">
        <v>77</v>
      </c>
      <c r="K37" s="51" t="n">
        <v>1.6</v>
      </c>
      <c r="L37" s="52" t="s">
        <v>111</v>
      </c>
    </row>
    <row r="38" customFormat="false" ht="14.25" hidden="false" customHeight="true" outlineLevel="0" collapsed="false">
      <c r="A38" s="30" t="s">
        <v>80</v>
      </c>
      <c r="B38" s="57" t="n">
        <v>0.3</v>
      </c>
      <c r="C38" s="57" t="n">
        <v>0.24</v>
      </c>
      <c r="D38" s="32" t="n">
        <v>500</v>
      </c>
      <c r="E38" s="32" t="n">
        <v>3</v>
      </c>
      <c r="F38" s="33" t="n">
        <v>0.03</v>
      </c>
      <c r="G38" s="57" t="n">
        <v>0.05</v>
      </c>
      <c r="H38" s="58" t="s">
        <v>183</v>
      </c>
      <c r="I38" s="32" t="n">
        <v>765</v>
      </c>
      <c r="J38" s="34" t="s">
        <v>81</v>
      </c>
      <c r="K38" s="65" t="n">
        <v>2</v>
      </c>
      <c r="L38" s="66" t="s">
        <v>111</v>
      </c>
    </row>
    <row r="39" customFormat="false" ht="14.25" hidden="false" customHeight="true" outlineLevel="0" collapsed="false"/>
    <row r="40" customFormat="false" ht="14.25" hidden="false" customHeight="true" outlineLevel="0" collapsed="false">
      <c r="A40" s="37" t="s">
        <v>116</v>
      </c>
    </row>
    <row r="41" customFormat="false" ht="97.5" hidden="false" customHeight="true" outlineLevel="0" collapsed="false">
      <c r="A41" s="14" t="s">
        <v>184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</sheetData>
  <mergeCells count="3">
    <mergeCell ref="A1:N1"/>
    <mergeCell ref="A2:N2"/>
    <mergeCell ref="A41:N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"/>
    <col collapsed="false" customWidth="true" hidden="false" outlineLevel="0" max="9" min="9" style="0" width="18"/>
    <col collapsed="false" customWidth="true" hidden="false" outlineLevel="0" max="12" min="10" style="0" width="8"/>
    <col collapsed="false" customWidth="true" hidden="false" outlineLevel="0" max="13" min="13" style="0" width="6"/>
    <col collapsed="false" customWidth="true" hidden="false" outlineLevel="0" max="15" min="14" style="0" width="8"/>
  </cols>
  <sheetData>
    <row r="1" customFormat="false" ht="21.75" hidden="false" customHeight="true" outlineLevel="0" collapsed="false">
      <c r="A1" s="73" t="s">
        <v>185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customFormat="false" ht="14.25" hidden="false" customHeight="true" outlineLevel="0" collapsed="false"/>
    <row r="3" customFormat="false" ht="19.5" hidden="false" customHeight="true" outlineLevel="0" collapsed="false">
      <c r="A3" s="74" t="s">
        <v>4</v>
      </c>
    </row>
    <row r="4" customFormat="false" ht="14.25" hidden="false" customHeight="true" outlineLevel="0" collapsed="false">
      <c r="A4" s="75" t="s">
        <v>186</v>
      </c>
      <c r="B4" s="75"/>
      <c r="C4" s="75"/>
    </row>
    <row r="5" customFormat="false" ht="14.25" hidden="false" customHeight="true" outlineLevel="0" collapsed="false">
      <c r="A5" s="76" t="s">
        <v>187</v>
      </c>
      <c r="B5" s="76" t="s">
        <v>188</v>
      </c>
      <c r="C5" s="76" t="s">
        <v>189</v>
      </c>
    </row>
    <row r="6" customFormat="false" ht="14.25" hidden="false" customHeight="true" outlineLevel="0" collapsed="false">
      <c r="A6" s="6" t="s">
        <v>88</v>
      </c>
      <c r="B6" s="6" t="s">
        <v>92</v>
      </c>
      <c r="C6" s="20" t="n">
        <v>80</v>
      </c>
    </row>
    <row r="7" customFormat="false" ht="14.25" hidden="false" customHeight="true" outlineLevel="0" collapsed="false">
      <c r="A7" s="9" t="s">
        <v>89</v>
      </c>
      <c r="B7" s="9" t="s">
        <v>92</v>
      </c>
      <c r="C7" s="25" t="n">
        <v>90</v>
      </c>
    </row>
    <row r="8" customFormat="false" ht="14.25" hidden="false" customHeight="true" outlineLevel="0" collapsed="false">
      <c r="A8" s="6" t="s">
        <v>90</v>
      </c>
      <c r="B8" s="6" t="s">
        <v>92</v>
      </c>
      <c r="C8" s="20" t="n">
        <v>70</v>
      </c>
    </row>
    <row r="9" customFormat="false" ht="14.25" hidden="false" customHeight="true" outlineLevel="0" collapsed="false">
      <c r="A9" s="9" t="s">
        <v>91</v>
      </c>
      <c r="B9" s="9" t="s">
        <v>92</v>
      </c>
      <c r="C9" s="25" t="n">
        <v>100</v>
      </c>
    </row>
    <row r="10" customFormat="false" ht="14.25" hidden="false" customHeight="true" outlineLevel="0" collapsed="false">
      <c r="A10" s="6" t="s">
        <v>88</v>
      </c>
      <c r="B10" s="6" t="s">
        <v>93</v>
      </c>
      <c r="C10" s="20" t="n">
        <v>60</v>
      </c>
    </row>
    <row r="11" customFormat="false" ht="14.25" hidden="false" customHeight="true" outlineLevel="0" collapsed="false">
      <c r="A11" s="9" t="s">
        <v>89</v>
      </c>
      <c r="B11" s="9" t="s">
        <v>93</v>
      </c>
      <c r="C11" s="25" t="n">
        <v>80</v>
      </c>
    </row>
    <row r="12" customFormat="false" ht="14.25" hidden="false" customHeight="true" outlineLevel="0" collapsed="false">
      <c r="A12" s="6" t="s">
        <v>90</v>
      </c>
      <c r="B12" s="6" t="s">
        <v>93</v>
      </c>
      <c r="C12" s="20" t="n">
        <v>90</v>
      </c>
    </row>
    <row r="13" customFormat="false" ht="14.25" hidden="false" customHeight="true" outlineLevel="0" collapsed="false">
      <c r="A13" s="9" t="s">
        <v>91</v>
      </c>
      <c r="B13" s="9" t="s">
        <v>93</v>
      </c>
      <c r="C13" s="25" t="n">
        <v>70</v>
      </c>
    </row>
    <row r="14" customFormat="false" ht="14.25" hidden="false" customHeight="true" outlineLevel="0" collapsed="false">
      <c r="A14" s="6" t="s">
        <v>88</v>
      </c>
      <c r="B14" s="6" t="s">
        <v>94</v>
      </c>
      <c r="C14" s="20" t="n">
        <v>50</v>
      </c>
    </row>
    <row r="15" customFormat="false" ht="14.25" hidden="false" customHeight="true" outlineLevel="0" collapsed="false">
      <c r="A15" s="9" t="s">
        <v>89</v>
      </c>
      <c r="B15" s="9" t="s">
        <v>94</v>
      </c>
      <c r="C15" s="25" t="n">
        <v>60</v>
      </c>
    </row>
    <row r="16" customFormat="false" ht="14.25" hidden="false" customHeight="true" outlineLevel="0" collapsed="false">
      <c r="A16" s="6" t="s">
        <v>90</v>
      </c>
      <c r="B16" s="6" t="s">
        <v>94</v>
      </c>
      <c r="C16" s="20" t="n">
        <v>80</v>
      </c>
    </row>
    <row r="17" customFormat="false" ht="14.25" hidden="false" customHeight="true" outlineLevel="0" collapsed="false">
      <c r="A17" s="9" t="s">
        <v>91</v>
      </c>
      <c r="B17" s="9" t="s">
        <v>94</v>
      </c>
      <c r="C17" s="25" t="n">
        <v>90</v>
      </c>
    </row>
    <row r="18" customFormat="false" ht="14.25" hidden="false" customHeight="true" outlineLevel="0" collapsed="false"/>
    <row r="19" customFormat="false" ht="14.25" hidden="false" customHeight="true" outlineLevel="0" collapsed="false">
      <c r="E19" s="75" t="s">
        <v>190</v>
      </c>
      <c r="F19" s="75"/>
      <c r="G19" s="75"/>
    </row>
    <row r="20" customFormat="false" ht="14.25" hidden="false" customHeight="true" outlineLevel="0" collapsed="false">
      <c r="E20" s="76" t="s">
        <v>188</v>
      </c>
      <c r="F20" s="76" t="s">
        <v>191</v>
      </c>
      <c r="G20" s="76" t="s">
        <v>192</v>
      </c>
      <c r="I20" s="75" t="s">
        <v>193</v>
      </c>
      <c r="J20" s="75"/>
      <c r="K20" s="75"/>
      <c r="L20" s="75"/>
      <c r="M20" s="75"/>
      <c r="N20" s="75"/>
      <c r="O20" s="75"/>
    </row>
    <row r="21" customFormat="false" ht="14.25" hidden="false" customHeight="true" outlineLevel="0" collapsed="false">
      <c r="E21" s="6" t="s">
        <v>92</v>
      </c>
      <c r="F21" s="6" t="s">
        <v>37</v>
      </c>
      <c r="G21" s="20" t="n">
        <v>1</v>
      </c>
      <c r="I21" s="76" t="s">
        <v>191</v>
      </c>
      <c r="J21" s="76" t="s">
        <v>194</v>
      </c>
      <c r="K21" s="76" t="s">
        <v>195</v>
      </c>
      <c r="L21" s="76" t="s">
        <v>196</v>
      </c>
      <c r="M21" s="76" t="s">
        <v>197</v>
      </c>
      <c r="N21" s="76" t="s">
        <v>198</v>
      </c>
      <c r="O21" s="76" t="s">
        <v>199</v>
      </c>
    </row>
    <row r="22" customFormat="false" ht="14.25" hidden="false" customHeight="true" outlineLevel="0" collapsed="false">
      <c r="E22" s="6" t="s">
        <v>92</v>
      </c>
      <c r="F22" s="6" t="s">
        <v>41</v>
      </c>
      <c r="G22" s="20" t="n">
        <v>1</v>
      </c>
      <c r="I22" s="6" t="s">
        <v>32</v>
      </c>
      <c r="J22" s="49" t="n">
        <v>5</v>
      </c>
      <c r="K22" s="49" t="n">
        <v>4.5</v>
      </c>
      <c r="L22" s="20" t="n">
        <v>120</v>
      </c>
      <c r="M22" s="20" t="n">
        <v>2</v>
      </c>
      <c r="N22" s="21" t="n">
        <v>0.3</v>
      </c>
      <c r="O22" s="49" t="n">
        <v>1</v>
      </c>
    </row>
    <row r="23" customFormat="false" ht="14.25" hidden="false" customHeight="true" outlineLevel="0" collapsed="false">
      <c r="E23" s="6" t="s">
        <v>93</v>
      </c>
      <c r="F23" s="6" t="s">
        <v>45</v>
      </c>
      <c r="G23" s="20" t="n">
        <v>2</v>
      </c>
      <c r="I23" s="9" t="s">
        <v>37</v>
      </c>
      <c r="J23" s="53" t="n">
        <v>1</v>
      </c>
      <c r="K23" s="53" t="n">
        <v>0.85</v>
      </c>
      <c r="L23" s="25" t="n">
        <v>85</v>
      </c>
      <c r="M23" s="25" t="n">
        <v>1</v>
      </c>
      <c r="N23" s="26" t="n">
        <v>0.05</v>
      </c>
      <c r="O23" s="53" t="n">
        <v>0.3</v>
      </c>
    </row>
    <row r="24" customFormat="false" ht="14.25" hidden="false" customHeight="true" outlineLevel="0" collapsed="false">
      <c r="E24" s="6" t="s">
        <v>94</v>
      </c>
      <c r="F24" s="6" t="s">
        <v>32</v>
      </c>
      <c r="G24" s="20" t="n">
        <v>1</v>
      </c>
      <c r="I24" s="6" t="s">
        <v>41</v>
      </c>
      <c r="J24" s="49" t="n">
        <v>0.5</v>
      </c>
      <c r="K24" s="49" t="n">
        <v>0.44</v>
      </c>
      <c r="L24" s="20" t="n">
        <v>140</v>
      </c>
      <c r="M24" s="20" t="n">
        <v>2</v>
      </c>
      <c r="N24" s="21" t="n">
        <v>0.04</v>
      </c>
      <c r="O24" s="49" t="n">
        <v>0.1</v>
      </c>
    </row>
    <row r="25" customFormat="false" ht="14.25" hidden="false" customHeight="true" outlineLevel="0" collapsed="false">
      <c r="I25" s="9" t="s">
        <v>45</v>
      </c>
      <c r="J25" s="53" t="n">
        <v>0.8</v>
      </c>
      <c r="K25" s="53" t="n">
        <v>0.74</v>
      </c>
      <c r="L25" s="25" t="n">
        <v>160</v>
      </c>
      <c r="M25" s="25" t="n">
        <v>1</v>
      </c>
      <c r="N25" s="26" t="n">
        <v>0.03</v>
      </c>
      <c r="O25" s="53" t="n">
        <v>0.2</v>
      </c>
    </row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9.5" hidden="false" customHeight="true" outlineLevel="0" collapsed="false">
      <c r="A28" s="74" t="s">
        <v>7</v>
      </c>
    </row>
    <row r="29" customFormat="false" ht="14.25" hidden="false" customHeight="true" outlineLevel="0" collapsed="false">
      <c r="A29" s="75" t="s">
        <v>186</v>
      </c>
      <c r="B29" s="75"/>
      <c r="C29" s="75"/>
    </row>
    <row r="30" customFormat="false" ht="14.25" hidden="false" customHeight="true" outlineLevel="0" collapsed="false">
      <c r="A30" s="76" t="s">
        <v>187</v>
      </c>
      <c r="B30" s="76" t="s">
        <v>188</v>
      </c>
      <c r="C30" s="76" t="s">
        <v>189</v>
      </c>
    </row>
    <row r="31" customFormat="false" ht="14.25" hidden="false" customHeight="true" outlineLevel="0" collapsed="false">
      <c r="A31" s="6" t="s">
        <v>88</v>
      </c>
      <c r="B31" s="6" t="s">
        <v>92</v>
      </c>
      <c r="C31" s="20" t="n">
        <v>40</v>
      </c>
    </row>
    <row r="32" customFormat="false" ht="14.25" hidden="false" customHeight="true" outlineLevel="0" collapsed="false">
      <c r="A32" s="9" t="s">
        <v>89</v>
      </c>
      <c r="B32" s="9" t="s">
        <v>92</v>
      </c>
      <c r="C32" s="25" t="n">
        <v>35</v>
      </c>
    </row>
    <row r="33" customFormat="false" ht="14.25" hidden="false" customHeight="true" outlineLevel="0" collapsed="false">
      <c r="A33" s="6" t="s">
        <v>90</v>
      </c>
      <c r="B33" s="6" t="s">
        <v>92</v>
      </c>
      <c r="C33" s="20" t="n">
        <v>30</v>
      </c>
    </row>
    <row r="34" customFormat="false" ht="14.25" hidden="false" customHeight="true" outlineLevel="0" collapsed="false">
      <c r="A34" s="9" t="s">
        <v>91</v>
      </c>
      <c r="B34" s="9" t="s">
        <v>92</v>
      </c>
      <c r="C34" s="25" t="n">
        <v>40</v>
      </c>
    </row>
    <row r="35" customFormat="false" ht="14.25" hidden="false" customHeight="true" outlineLevel="0" collapsed="false">
      <c r="A35" s="6" t="s">
        <v>88</v>
      </c>
      <c r="B35" s="6" t="s">
        <v>93</v>
      </c>
      <c r="C35" s="20" t="n">
        <v>30</v>
      </c>
    </row>
    <row r="36" customFormat="false" ht="14.25" hidden="false" customHeight="true" outlineLevel="0" collapsed="false">
      <c r="A36" s="9" t="s">
        <v>89</v>
      </c>
      <c r="B36" s="9" t="s">
        <v>93</v>
      </c>
      <c r="C36" s="25" t="n">
        <v>25</v>
      </c>
    </row>
    <row r="37" customFormat="false" ht="14.25" hidden="false" customHeight="true" outlineLevel="0" collapsed="false">
      <c r="A37" s="6" t="s">
        <v>90</v>
      </c>
      <c r="B37" s="6" t="s">
        <v>93</v>
      </c>
      <c r="C37" s="20" t="n">
        <v>35</v>
      </c>
    </row>
    <row r="38" customFormat="false" ht="14.25" hidden="false" customHeight="true" outlineLevel="0" collapsed="false">
      <c r="A38" s="9" t="s">
        <v>91</v>
      </c>
      <c r="B38" s="9" t="s">
        <v>93</v>
      </c>
      <c r="C38" s="25" t="n">
        <v>30</v>
      </c>
    </row>
    <row r="39" customFormat="false" ht="14.25" hidden="false" customHeight="true" outlineLevel="0" collapsed="false">
      <c r="A39" s="6" t="s">
        <v>88</v>
      </c>
      <c r="B39" s="6" t="s">
        <v>94</v>
      </c>
      <c r="C39" s="20" t="n">
        <v>20</v>
      </c>
    </row>
    <row r="40" customFormat="false" ht="14.25" hidden="false" customHeight="true" outlineLevel="0" collapsed="false">
      <c r="A40" s="9" t="s">
        <v>89</v>
      </c>
      <c r="B40" s="9" t="s">
        <v>94</v>
      </c>
      <c r="C40" s="25" t="n">
        <v>25</v>
      </c>
    </row>
    <row r="41" customFormat="false" ht="14.25" hidden="false" customHeight="true" outlineLevel="0" collapsed="false">
      <c r="A41" s="6" t="s">
        <v>90</v>
      </c>
      <c r="B41" s="6" t="s">
        <v>94</v>
      </c>
      <c r="C41" s="20" t="n">
        <v>20</v>
      </c>
    </row>
    <row r="42" customFormat="false" ht="14.25" hidden="false" customHeight="true" outlineLevel="0" collapsed="false">
      <c r="A42" s="9" t="s">
        <v>91</v>
      </c>
      <c r="B42" s="9" t="s">
        <v>94</v>
      </c>
      <c r="C42" s="25" t="n">
        <v>25</v>
      </c>
    </row>
    <row r="43" customFormat="false" ht="14.25" hidden="false" customHeight="true" outlineLevel="0" collapsed="false"/>
    <row r="44" customFormat="false" ht="14.25" hidden="false" customHeight="true" outlineLevel="0" collapsed="false">
      <c r="E44" s="75" t="s">
        <v>190</v>
      </c>
      <c r="F44" s="75"/>
      <c r="G44" s="75"/>
    </row>
    <row r="45" customFormat="false" ht="14.25" hidden="false" customHeight="true" outlineLevel="0" collapsed="false">
      <c r="E45" s="76" t="s">
        <v>188</v>
      </c>
      <c r="F45" s="76" t="s">
        <v>191</v>
      </c>
      <c r="G45" s="76" t="s">
        <v>192</v>
      </c>
      <c r="I45" s="75" t="s">
        <v>193</v>
      </c>
      <c r="J45" s="75"/>
      <c r="K45" s="75"/>
      <c r="L45" s="75"/>
      <c r="M45" s="75"/>
      <c r="N45" s="75"/>
      <c r="O45" s="75"/>
    </row>
    <row r="46" customFormat="false" ht="14.25" hidden="false" customHeight="true" outlineLevel="0" collapsed="false">
      <c r="E46" s="6" t="s">
        <v>92</v>
      </c>
      <c r="F46" s="6" t="s">
        <v>37</v>
      </c>
      <c r="G46" s="20" t="n">
        <v>1</v>
      </c>
      <c r="I46" s="76" t="s">
        <v>191</v>
      </c>
      <c r="J46" s="76" t="s">
        <v>194</v>
      </c>
      <c r="K46" s="76" t="s">
        <v>195</v>
      </c>
      <c r="L46" s="76" t="s">
        <v>196</v>
      </c>
      <c r="M46" s="76" t="s">
        <v>197</v>
      </c>
      <c r="N46" s="76" t="s">
        <v>198</v>
      </c>
      <c r="O46" s="76" t="s">
        <v>199</v>
      </c>
    </row>
    <row r="47" customFormat="false" ht="14.25" hidden="false" customHeight="true" outlineLevel="0" collapsed="false">
      <c r="E47" s="6" t="s">
        <v>92</v>
      </c>
      <c r="F47" s="6" t="s">
        <v>41</v>
      </c>
      <c r="G47" s="20" t="n">
        <v>1</v>
      </c>
      <c r="I47" s="6" t="s">
        <v>32</v>
      </c>
      <c r="J47" s="49" t="n">
        <v>5</v>
      </c>
      <c r="K47" s="49" t="n">
        <v>4.5</v>
      </c>
      <c r="L47" s="20" t="n">
        <v>200</v>
      </c>
      <c r="M47" s="20" t="n">
        <v>1</v>
      </c>
      <c r="N47" s="21" t="n">
        <v>0.2</v>
      </c>
      <c r="O47" s="49" t="n">
        <v>2.5</v>
      </c>
    </row>
    <row r="48" customFormat="false" ht="14.25" hidden="false" customHeight="true" outlineLevel="0" collapsed="false">
      <c r="E48" s="6" t="s">
        <v>93</v>
      </c>
      <c r="F48" s="6" t="s">
        <v>45</v>
      </c>
      <c r="G48" s="20" t="n">
        <v>2</v>
      </c>
      <c r="I48" s="9" t="s">
        <v>37</v>
      </c>
      <c r="J48" s="53" t="n">
        <v>1</v>
      </c>
      <c r="K48" s="53" t="n">
        <v>0.85</v>
      </c>
      <c r="L48" s="25" t="n">
        <v>200</v>
      </c>
      <c r="M48" s="25" t="n">
        <v>1</v>
      </c>
      <c r="N48" s="26" t="n">
        <v>0.05</v>
      </c>
      <c r="O48" s="53" t="n">
        <v>0.8</v>
      </c>
    </row>
    <row r="49" customFormat="false" ht="14.25" hidden="false" customHeight="true" outlineLevel="0" collapsed="false">
      <c r="E49" s="6" t="s">
        <v>94</v>
      </c>
      <c r="F49" s="6" t="s">
        <v>32</v>
      </c>
      <c r="G49" s="20" t="n">
        <v>1</v>
      </c>
      <c r="I49" s="6" t="s">
        <v>41</v>
      </c>
      <c r="J49" s="49" t="n">
        <v>0.5</v>
      </c>
      <c r="K49" s="49" t="n">
        <v>0.44</v>
      </c>
      <c r="L49" s="20" t="n">
        <v>200</v>
      </c>
      <c r="M49" s="20" t="n">
        <v>1</v>
      </c>
      <c r="N49" s="21" t="n">
        <v>0.02</v>
      </c>
      <c r="O49" s="49" t="n">
        <v>0.4</v>
      </c>
    </row>
    <row r="50" customFormat="false" ht="14.25" hidden="false" customHeight="true" outlineLevel="0" collapsed="false">
      <c r="I50" s="9" t="s">
        <v>45</v>
      </c>
      <c r="J50" s="53" t="n">
        <v>0.8</v>
      </c>
      <c r="K50" s="53" t="n">
        <v>0.74</v>
      </c>
      <c r="L50" s="25" t="n">
        <v>200</v>
      </c>
      <c r="M50" s="25" t="n">
        <v>1</v>
      </c>
      <c r="N50" s="26" t="n">
        <v>0.03</v>
      </c>
      <c r="O50" s="53" t="n">
        <v>0.7</v>
      </c>
    </row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9.5" hidden="false" customHeight="true" outlineLevel="0" collapsed="false">
      <c r="A53" s="74" t="s">
        <v>10</v>
      </c>
    </row>
    <row r="54" customFormat="false" ht="14.25" hidden="false" customHeight="true" outlineLevel="0" collapsed="false">
      <c r="A54" s="75" t="s">
        <v>186</v>
      </c>
      <c r="B54" s="75"/>
      <c r="C54" s="75"/>
    </row>
    <row r="55" customFormat="false" ht="14.25" hidden="false" customHeight="true" outlineLevel="0" collapsed="false">
      <c r="A55" s="76" t="s">
        <v>187</v>
      </c>
      <c r="B55" s="76" t="s">
        <v>188</v>
      </c>
      <c r="C55" s="76" t="s">
        <v>189</v>
      </c>
    </row>
    <row r="56" customFormat="false" ht="14.25" hidden="false" customHeight="true" outlineLevel="0" collapsed="false">
      <c r="A56" s="6" t="s">
        <v>88</v>
      </c>
      <c r="B56" s="6" t="s">
        <v>92</v>
      </c>
      <c r="C56" s="20" t="n">
        <v>20</v>
      </c>
    </row>
    <row r="57" customFormat="false" ht="14.25" hidden="false" customHeight="true" outlineLevel="0" collapsed="false">
      <c r="A57" s="9" t="s">
        <v>89</v>
      </c>
      <c r="B57" s="9" t="s">
        <v>92</v>
      </c>
      <c r="C57" s="25" t="n">
        <v>120</v>
      </c>
    </row>
    <row r="58" customFormat="false" ht="14.25" hidden="false" customHeight="true" outlineLevel="0" collapsed="false">
      <c r="A58" s="6" t="s">
        <v>90</v>
      </c>
      <c r="B58" s="6" t="s">
        <v>92</v>
      </c>
      <c r="C58" s="20" t="n">
        <v>20</v>
      </c>
    </row>
    <row r="59" customFormat="false" ht="14.25" hidden="false" customHeight="true" outlineLevel="0" collapsed="false">
      <c r="A59" s="9" t="s">
        <v>91</v>
      </c>
      <c r="B59" s="9" t="s">
        <v>92</v>
      </c>
      <c r="C59" s="25" t="n">
        <v>120</v>
      </c>
    </row>
    <row r="60" customFormat="false" ht="14.25" hidden="false" customHeight="true" outlineLevel="0" collapsed="false">
      <c r="A60" s="6" t="s">
        <v>88</v>
      </c>
      <c r="B60" s="6" t="s">
        <v>93</v>
      </c>
      <c r="C60" s="20" t="n">
        <v>10</v>
      </c>
    </row>
    <row r="61" customFormat="false" ht="14.25" hidden="false" customHeight="true" outlineLevel="0" collapsed="false">
      <c r="A61" s="9" t="s">
        <v>89</v>
      </c>
      <c r="B61" s="9" t="s">
        <v>93</v>
      </c>
      <c r="C61" s="25" t="n">
        <v>80</v>
      </c>
    </row>
    <row r="62" customFormat="false" ht="14.25" hidden="false" customHeight="true" outlineLevel="0" collapsed="false">
      <c r="A62" s="6" t="s">
        <v>90</v>
      </c>
      <c r="B62" s="6" t="s">
        <v>93</v>
      </c>
      <c r="C62" s="20" t="n">
        <v>10</v>
      </c>
    </row>
    <row r="63" customFormat="false" ht="14.25" hidden="false" customHeight="true" outlineLevel="0" collapsed="false">
      <c r="A63" s="9" t="s">
        <v>91</v>
      </c>
      <c r="B63" s="9" t="s">
        <v>93</v>
      </c>
      <c r="C63" s="25" t="n">
        <v>80</v>
      </c>
    </row>
    <row r="64" customFormat="false" ht="14.25" hidden="false" customHeight="true" outlineLevel="0" collapsed="false">
      <c r="A64" s="6" t="s">
        <v>88</v>
      </c>
      <c r="B64" s="6" t="s">
        <v>94</v>
      </c>
      <c r="C64" s="20" t="n">
        <v>15</v>
      </c>
    </row>
    <row r="65" customFormat="false" ht="14.25" hidden="false" customHeight="true" outlineLevel="0" collapsed="false">
      <c r="A65" s="9" t="s">
        <v>89</v>
      </c>
      <c r="B65" s="9" t="s">
        <v>94</v>
      </c>
      <c r="C65" s="25" t="n">
        <v>90</v>
      </c>
    </row>
    <row r="66" customFormat="false" ht="14.25" hidden="false" customHeight="true" outlineLevel="0" collapsed="false">
      <c r="A66" s="6" t="s">
        <v>90</v>
      </c>
      <c r="B66" s="6" t="s">
        <v>94</v>
      </c>
      <c r="C66" s="20" t="n">
        <v>15</v>
      </c>
    </row>
    <row r="67" customFormat="false" ht="14.25" hidden="false" customHeight="true" outlineLevel="0" collapsed="false">
      <c r="A67" s="9" t="s">
        <v>91</v>
      </c>
      <c r="B67" s="9" t="s">
        <v>94</v>
      </c>
      <c r="C67" s="25" t="n">
        <v>90</v>
      </c>
    </row>
    <row r="68" customFormat="false" ht="14.25" hidden="false" customHeight="true" outlineLevel="0" collapsed="false"/>
    <row r="69" customFormat="false" ht="14.25" hidden="false" customHeight="true" outlineLevel="0" collapsed="false">
      <c r="E69" s="75" t="s">
        <v>190</v>
      </c>
      <c r="F69" s="75"/>
      <c r="G69" s="75"/>
    </row>
    <row r="70" customFormat="false" ht="14.25" hidden="false" customHeight="true" outlineLevel="0" collapsed="false">
      <c r="E70" s="76" t="s">
        <v>188</v>
      </c>
      <c r="F70" s="76" t="s">
        <v>191</v>
      </c>
      <c r="G70" s="76" t="s">
        <v>192</v>
      </c>
      <c r="I70" s="75" t="s">
        <v>193</v>
      </c>
      <c r="J70" s="75"/>
      <c r="K70" s="75"/>
      <c r="L70" s="75"/>
      <c r="M70" s="75"/>
      <c r="N70" s="75"/>
      <c r="O70" s="75"/>
    </row>
    <row r="71" customFormat="false" ht="14.25" hidden="false" customHeight="true" outlineLevel="0" collapsed="false">
      <c r="E71" s="6" t="s">
        <v>92</v>
      </c>
      <c r="F71" s="6" t="s">
        <v>37</v>
      </c>
      <c r="G71" s="20" t="n">
        <v>1</v>
      </c>
      <c r="I71" s="76" t="s">
        <v>191</v>
      </c>
      <c r="J71" s="76" t="s">
        <v>194</v>
      </c>
      <c r="K71" s="76" t="s">
        <v>195</v>
      </c>
      <c r="L71" s="76" t="s">
        <v>196</v>
      </c>
      <c r="M71" s="76" t="s">
        <v>197</v>
      </c>
      <c r="N71" s="76" t="s">
        <v>198</v>
      </c>
      <c r="O71" s="76" t="s">
        <v>199</v>
      </c>
    </row>
    <row r="72" customFormat="false" ht="14.25" hidden="false" customHeight="true" outlineLevel="0" collapsed="false">
      <c r="E72" s="6" t="s">
        <v>92</v>
      </c>
      <c r="F72" s="6" t="s">
        <v>41</v>
      </c>
      <c r="G72" s="20" t="n">
        <v>1</v>
      </c>
      <c r="I72" s="6" t="s">
        <v>32</v>
      </c>
      <c r="J72" s="49" t="n">
        <v>5</v>
      </c>
      <c r="K72" s="49" t="n">
        <v>3.5</v>
      </c>
      <c r="L72" s="20" t="n">
        <v>100</v>
      </c>
      <c r="M72" s="20" t="n">
        <v>3</v>
      </c>
      <c r="N72" s="21" t="n">
        <v>0.6</v>
      </c>
      <c r="O72" s="49" t="n">
        <v>0.5</v>
      </c>
    </row>
    <row r="73" customFormat="false" ht="14.25" hidden="false" customHeight="true" outlineLevel="0" collapsed="false">
      <c r="E73" s="6" t="s">
        <v>93</v>
      </c>
      <c r="F73" s="6" t="s">
        <v>45</v>
      </c>
      <c r="G73" s="20" t="n">
        <v>2</v>
      </c>
      <c r="I73" s="9" t="s">
        <v>37</v>
      </c>
      <c r="J73" s="53" t="n">
        <v>1</v>
      </c>
      <c r="K73" s="53" t="n">
        <v>0.7</v>
      </c>
      <c r="L73" s="25" t="n">
        <v>100</v>
      </c>
      <c r="M73" s="25" t="n">
        <v>2</v>
      </c>
      <c r="N73" s="26" t="n">
        <v>0.2</v>
      </c>
      <c r="O73" s="53" t="n">
        <v>0.15</v>
      </c>
    </row>
    <row r="74" customFormat="false" ht="14.25" hidden="false" customHeight="true" outlineLevel="0" collapsed="false">
      <c r="E74" s="6" t="s">
        <v>94</v>
      </c>
      <c r="F74" s="6" t="s">
        <v>32</v>
      </c>
      <c r="G74" s="20" t="n">
        <v>1</v>
      </c>
      <c r="I74" s="6" t="s">
        <v>41</v>
      </c>
      <c r="J74" s="49" t="n">
        <v>0.5</v>
      </c>
      <c r="K74" s="49" t="n">
        <v>0.35</v>
      </c>
      <c r="L74" s="20" t="n">
        <v>150</v>
      </c>
      <c r="M74" s="20" t="n">
        <v>3</v>
      </c>
      <c r="N74" s="21" t="n">
        <v>0.08</v>
      </c>
      <c r="O74" s="49" t="n">
        <v>0.05</v>
      </c>
    </row>
    <row r="75" customFormat="false" ht="14.25" hidden="false" customHeight="true" outlineLevel="0" collapsed="false">
      <c r="I75" s="9" t="s">
        <v>45</v>
      </c>
      <c r="J75" s="53" t="n">
        <v>0.8</v>
      </c>
      <c r="K75" s="53" t="n">
        <v>0.55</v>
      </c>
      <c r="L75" s="25" t="n">
        <v>100</v>
      </c>
      <c r="M75" s="25" t="n">
        <v>2</v>
      </c>
      <c r="N75" s="26" t="n">
        <v>0.16</v>
      </c>
      <c r="O75" s="53" t="n">
        <v>0.1</v>
      </c>
    </row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9.5" hidden="false" customHeight="true" outlineLevel="0" collapsed="false">
      <c r="A78" s="74" t="s">
        <v>13</v>
      </c>
    </row>
    <row r="79" customFormat="false" ht="14.25" hidden="false" customHeight="true" outlineLevel="0" collapsed="false">
      <c r="A79" s="75" t="s">
        <v>186</v>
      </c>
      <c r="B79" s="75"/>
      <c r="C79" s="75"/>
    </row>
    <row r="80" customFormat="false" ht="14.25" hidden="false" customHeight="true" outlineLevel="0" collapsed="false">
      <c r="A80" s="76" t="s">
        <v>187</v>
      </c>
      <c r="B80" s="76" t="s">
        <v>188</v>
      </c>
      <c r="C80" s="76" t="s">
        <v>189</v>
      </c>
    </row>
    <row r="81" customFormat="false" ht="14.25" hidden="false" customHeight="true" outlineLevel="0" collapsed="false">
      <c r="A81" s="6" t="s">
        <v>88</v>
      </c>
      <c r="B81" s="6" t="s">
        <v>92</v>
      </c>
      <c r="C81" s="20" t="n">
        <v>70</v>
      </c>
    </row>
    <row r="82" customFormat="false" ht="14.25" hidden="false" customHeight="true" outlineLevel="0" collapsed="false">
      <c r="A82" s="9" t="s">
        <v>89</v>
      </c>
      <c r="B82" s="9" t="s">
        <v>92</v>
      </c>
      <c r="C82" s="25" t="n">
        <v>70</v>
      </c>
    </row>
    <row r="83" customFormat="false" ht="14.25" hidden="false" customHeight="true" outlineLevel="0" collapsed="false">
      <c r="A83" s="6" t="s">
        <v>90</v>
      </c>
      <c r="B83" s="6" t="s">
        <v>92</v>
      </c>
      <c r="C83" s="20" t="n">
        <v>70</v>
      </c>
    </row>
    <row r="84" customFormat="false" ht="14.25" hidden="false" customHeight="true" outlineLevel="0" collapsed="false">
      <c r="A84" s="9" t="s">
        <v>91</v>
      </c>
      <c r="B84" s="9" t="s">
        <v>92</v>
      </c>
      <c r="C84" s="25" t="n">
        <v>70</v>
      </c>
    </row>
    <row r="85" customFormat="false" ht="14.25" hidden="false" customHeight="true" outlineLevel="0" collapsed="false">
      <c r="A85" s="6" t="s">
        <v>88</v>
      </c>
      <c r="B85" s="6" t="s">
        <v>93</v>
      </c>
      <c r="C85" s="20" t="n">
        <v>50</v>
      </c>
    </row>
    <row r="86" customFormat="false" ht="14.25" hidden="false" customHeight="true" outlineLevel="0" collapsed="false">
      <c r="A86" s="9" t="s">
        <v>89</v>
      </c>
      <c r="B86" s="9" t="s">
        <v>93</v>
      </c>
      <c r="C86" s="25" t="n">
        <v>50</v>
      </c>
    </row>
    <row r="87" customFormat="false" ht="14.25" hidden="false" customHeight="true" outlineLevel="0" collapsed="false">
      <c r="A87" s="6" t="s">
        <v>90</v>
      </c>
      <c r="B87" s="6" t="s">
        <v>93</v>
      </c>
      <c r="C87" s="20" t="n">
        <v>50</v>
      </c>
    </row>
    <row r="88" customFormat="false" ht="14.25" hidden="false" customHeight="true" outlineLevel="0" collapsed="false">
      <c r="A88" s="9" t="s">
        <v>91</v>
      </c>
      <c r="B88" s="9" t="s">
        <v>93</v>
      </c>
      <c r="C88" s="25" t="n">
        <v>50</v>
      </c>
    </row>
    <row r="89" customFormat="false" ht="14.25" hidden="false" customHeight="true" outlineLevel="0" collapsed="false">
      <c r="A89" s="6" t="s">
        <v>88</v>
      </c>
      <c r="B89" s="6" t="s">
        <v>94</v>
      </c>
      <c r="C89" s="20" t="n">
        <v>60</v>
      </c>
    </row>
    <row r="90" customFormat="false" ht="14.25" hidden="false" customHeight="true" outlineLevel="0" collapsed="false">
      <c r="A90" s="9" t="s">
        <v>89</v>
      </c>
      <c r="B90" s="9" t="s">
        <v>94</v>
      </c>
      <c r="C90" s="25" t="n">
        <v>60</v>
      </c>
    </row>
    <row r="91" customFormat="false" ht="14.25" hidden="false" customHeight="true" outlineLevel="0" collapsed="false">
      <c r="A91" s="6" t="s">
        <v>90</v>
      </c>
      <c r="B91" s="6" t="s">
        <v>94</v>
      </c>
      <c r="C91" s="20" t="n">
        <v>60</v>
      </c>
    </row>
    <row r="92" customFormat="false" ht="14.25" hidden="false" customHeight="true" outlineLevel="0" collapsed="false">
      <c r="A92" s="9" t="s">
        <v>91</v>
      </c>
      <c r="B92" s="9" t="s">
        <v>94</v>
      </c>
      <c r="C92" s="25" t="n">
        <v>60</v>
      </c>
    </row>
    <row r="93" customFormat="false" ht="14.25" hidden="false" customHeight="true" outlineLevel="0" collapsed="false"/>
    <row r="94" customFormat="false" ht="14.25" hidden="false" customHeight="true" outlineLevel="0" collapsed="false">
      <c r="E94" s="75" t="s">
        <v>190</v>
      </c>
      <c r="F94" s="75"/>
      <c r="G94" s="75"/>
    </row>
    <row r="95" customFormat="false" ht="14.25" hidden="false" customHeight="true" outlineLevel="0" collapsed="false">
      <c r="E95" s="76" t="s">
        <v>188</v>
      </c>
      <c r="F95" s="76" t="s">
        <v>191</v>
      </c>
      <c r="G95" s="76" t="s">
        <v>192</v>
      </c>
      <c r="I95" s="75" t="s">
        <v>193</v>
      </c>
      <c r="J95" s="75"/>
      <c r="K95" s="75"/>
      <c r="L95" s="75"/>
      <c r="M95" s="75"/>
      <c r="N95" s="75"/>
      <c r="O95" s="75"/>
    </row>
    <row r="96" customFormat="false" ht="14.25" hidden="false" customHeight="true" outlineLevel="0" collapsed="false">
      <c r="E96" s="6" t="s">
        <v>92</v>
      </c>
      <c r="F96" s="6" t="s">
        <v>37</v>
      </c>
      <c r="G96" s="20" t="n">
        <v>1</v>
      </c>
      <c r="I96" s="76" t="s">
        <v>191</v>
      </c>
      <c r="J96" s="76" t="s">
        <v>194</v>
      </c>
      <c r="K96" s="76" t="s">
        <v>195</v>
      </c>
      <c r="L96" s="76" t="s">
        <v>196</v>
      </c>
      <c r="M96" s="76" t="s">
        <v>197</v>
      </c>
      <c r="N96" s="76" t="s">
        <v>198</v>
      </c>
      <c r="O96" s="76" t="s">
        <v>199</v>
      </c>
    </row>
    <row r="97" customFormat="false" ht="14.25" hidden="false" customHeight="true" outlineLevel="0" collapsed="false">
      <c r="E97" s="6" t="s">
        <v>92</v>
      </c>
      <c r="F97" s="6" t="s">
        <v>41</v>
      </c>
      <c r="G97" s="20" t="n">
        <v>1</v>
      </c>
      <c r="I97" s="6" t="s">
        <v>32</v>
      </c>
      <c r="J97" s="49" t="n">
        <v>5</v>
      </c>
      <c r="K97" s="49" t="n">
        <v>4.5</v>
      </c>
      <c r="L97" s="20" t="n">
        <v>100</v>
      </c>
      <c r="M97" s="20" t="n">
        <v>2</v>
      </c>
      <c r="N97" s="21" t="n">
        <v>0.3</v>
      </c>
      <c r="O97" s="49" t="n">
        <v>1</v>
      </c>
    </row>
    <row r="98" customFormat="false" ht="14.25" hidden="false" customHeight="true" outlineLevel="0" collapsed="false">
      <c r="E98" s="6" t="s">
        <v>93</v>
      </c>
      <c r="F98" s="6" t="s">
        <v>45</v>
      </c>
      <c r="G98" s="20" t="n">
        <v>2</v>
      </c>
      <c r="I98" s="9" t="s">
        <v>37</v>
      </c>
      <c r="J98" s="53" t="n">
        <v>1</v>
      </c>
      <c r="K98" s="53" t="n">
        <v>0.85</v>
      </c>
      <c r="L98" s="25" t="n">
        <v>60</v>
      </c>
      <c r="M98" s="25" t="n">
        <v>1</v>
      </c>
      <c r="N98" s="26" t="n">
        <v>0.05</v>
      </c>
      <c r="O98" s="53" t="n">
        <v>0.3</v>
      </c>
    </row>
    <row r="99" customFormat="false" ht="14.25" hidden="false" customHeight="true" outlineLevel="0" collapsed="false">
      <c r="E99" s="6" t="s">
        <v>94</v>
      </c>
      <c r="F99" s="6" t="s">
        <v>32</v>
      </c>
      <c r="G99" s="20" t="n">
        <v>1</v>
      </c>
      <c r="I99" s="6" t="s">
        <v>41</v>
      </c>
      <c r="J99" s="49" t="n">
        <v>0.5</v>
      </c>
      <c r="K99" s="49" t="n">
        <v>0.44</v>
      </c>
      <c r="L99" s="20" t="n">
        <v>120</v>
      </c>
      <c r="M99" s="20" t="n">
        <v>2</v>
      </c>
      <c r="N99" s="21" t="n">
        <v>0.04</v>
      </c>
      <c r="O99" s="49" t="n">
        <v>0.1</v>
      </c>
    </row>
    <row r="100" customFormat="false" ht="14.25" hidden="false" customHeight="true" outlineLevel="0" collapsed="false">
      <c r="I100" s="9" t="s">
        <v>45</v>
      </c>
      <c r="J100" s="53" t="n">
        <v>0.8</v>
      </c>
      <c r="K100" s="53" t="n">
        <v>0.74</v>
      </c>
      <c r="L100" s="25" t="n">
        <v>90</v>
      </c>
      <c r="M100" s="25" t="n">
        <v>1</v>
      </c>
      <c r="N100" s="26" t="n">
        <v>0.03</v>
      </c>
      <c r="O100" s="53" t="n">
        <v>0.2</v>
      </c>
    </row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9.5" hidden="false" customHeight="true" outlineLevel="0" collapsed="false">
      <c r="A103" s="74" t="s">
        <v>16</v>
      </c>
    </row>
    <row r="104" customFormat="false" ht="14.25" hidden="false" customHeight="true" outlineLevel="0" collapsed="false">
      <c r="A104" s="75" t="s">
        <v>186</v>
      </c>
      <c r="B104" s="75"/>
      <c r="C104" s="75"/>
    </row>
    <row r="105" customFormat="false" ht="14.25" hidden="false" customHeight="true" outlineLevel="0" collapsed="false">
      <c r="A105" s="76" t="s">
        <v>187</v>
      </c>
      <c r="B105" s="76" t="s">
        <v>188</v>
      </c>
      <c r="C105" s="76" t="s">
        <v>189</v>
      </c>
    </row>
    <row r="106" customFormat="false" ht="14.25" hidden="false" customHeight="true" outlineLevel="0" collapsed="false">
      <c r="A106" s="6" t="s">
        <v>88</v>
      </c>
      <c r="B106" s="6" t="s">
        <v>173</v>
      </c>
      <c r="C106" s="20" t="n">
        <v>80</v>
      </c>
    </row>
    <row r="107" customFormat="false" ht="14.25" hidden="false" customHeight="true" outlineLevel="0" collapsed="false">
      <c r="A107" s="9" t="s">
        <v>89</v>
      </c>
      <c r="B107" s="9" t="s">
        <v>173</v>
      </c>
      <c r="C107" s="25" t="n">
        <v>95</v>
      </c>
    </row>
    <row r="108" customFormat="false" ht="14.25" hidden="false" customHeight="true" outlineLevel="0" collapsed="false">
      <c r="A108" s="6" t="s">
        <v>90</v>
      </c>
      <c r="B108" s="6" t="s">
        <v>173</v>
      </c>
      <c r="C108" s="20" t="n">
        <v>70</v>
      </c>
    </row>
    <row r="109" customFormat="false" ht="14.25" hidden="false" customHeight="true" outlineLevel="0" collapsed="false">
      <c r="A109" s="9" t="s">
        <v>91</v>
      </c>
      <c r="B109" s="9" t="s">
        <v>173</v>
      </c>
      <c r="C109" s="25" t="n">
        <v>110</v>
      </c>
    </row>
    <row r="110" customFormat="false" ht="14.25" hidden="false" customHeight="true" outlineLevel="0" collapsed="false">
      <c r="A110" s="6" t="s">
        <v>88</v>
      </c>
      <c r="B110" s="6" t="s">
        <v>174</v>
      </c>
      <c r="C110" s="20" t="n">
        <v>70</v>
      </c>
    </row>
    <row r="111" customFormat="false" ht="14.25" hidden="false" customHeight="true" outlineLevel="0" collapsed="false">
      <c r="A111" s="9" t="s">
        <v>89</v>
      </c>
      <c r="B111" s="9" t="s">
        <v>174</v>
      </c>
      <c r="C111" s="25" t="n">
        <v>80</v>
      </c>
    </row>
    <row r="112" customFormat="false" ht="14.25" hidden="false" customHeight="true" outlineLevel="0" collapsed="false">
      <c r="A112" s="6" t="s">
        <v>90</v>
      </c>
      <c r="B112" s="6" t="s">
        <v>174</v>
      </c>
      <c r="C112" s="20" t="n">
        <v>90</v>
      </c>
    </row>
    <row r="113" customFormat="false" ht="14.25" hidden="false" customHeight="true" outlineLevel="0" collapsed="false">
      <c r="A113" s="9" t="s">
        <v>91</v>
      </c>
      <c r="B113" s="9" t="s">
        <v>174</v>
      </c>
      <c r="C113" s="25" t="n">
        <v>85</v>
      </c>
    </row>
    <row r="114" customFormat="false" ht="14.25" hidden="false" customHeight="true" outlineLevel="0" collapsed="false">
      <c r="A114" s="6" t="s">
        <v>88</v>
      </c>
      <c r="B114" s="6" t="s">
        <v>175</v>
      </c>
      <c r="C114" s="20" t="n">
        <v>60</v>
      </c>
    </row>
    <row r="115" customFormat="false" ht="14.25" hidden="false" customHeight="true" outlineLevel="0" collapsed="false">
      <c r="A115" s="9" t="s">
        <v>89</v>
      </c>
      <c r="B115" s="9" t="s">
        <v>175</v>
      </c>
      <c r="C115" s="25" t="n">
        <v>75</v>
      </c>
    </row>
    <row r="116" customFormat="false" ht="14.25" hidden="false" customHeight="true" outlineLevel="0" collapsed="false">
      <c r="A116" s="6" t="s">
        <v>90</v>
      </c>
      <c r="B116" s="6" t="s">
        <v>175</v>
      </c>
      <c r="C116" s="20" t="n">
        <v>65</v>
      </c>
    </row>
    <row r="117" customFormat="false" ht="14.25" hidden="false" customHeight="true" outlineLevel="0" collapsed="false">
      <c r="A117" s="9" t="s">
        <v>91</v>
      </c>
      <c r="B117" s="9" t="s">
        <v>175</v>
      </c>
      <c r="C117" s="25" t="n">
        <v>80</v>
      </c>
    </row>
    <row r="118" customFormat="false" ht="14.25" hidden="false" customHeight="true" outlineLevel="0" collapsed="false">
      <c r="A118" s="6" t="s">
        <v>88</v>
      </c>
      <c r="B118" s="6" t="s">
        <v>176</v>
      </c>
      <c r="C118" s="20" t="n">
        <v>55</v>
      </c>
    </row>
    <row r="119" customFormat="false" ht="14.25" hidden="false" customHeight="true" outlineLevel="0" collapsed="false">
      <c r="A119" s="9" t="s">
        <v>89</v>
      </c>
      <c r="B119" s="9" t="s">
        <v>176</v>
      </c>
      <c r="C119" s="25" t="n">
        <v>60</v>
      </c>
    </row>
    <row r="120" customFormat="false" ht="14.25" hidden="false" customHeight="true" outlineLevel="0" collapsed="false">
      <c r="A120" s="6" t="s">
        <v>90</v>
      </c>
      <c r="B120" s="6" t="s">
        <v>176</v>
      </c>
      <c r="C120" s="20" t="n">
        <v>70</v>
      </c>
    </row>
    <row r="121" customFormat="false" ht="14.25" hidden="false" customHeight="true" outlineLevel="0" collapsed="false">
      <c r="A121" s="9" t="s">
        <v>91</v>
      </c>
      <c r="B121" s="9" t="s">
        <v>176</v>
      </c>
      <c r="C121" s="25" t="n">
        <v>65</v>
      </c>
    </row>
    <row r="122" customFormat="false" ht="14.25" hidden="false" customHeight="true" outlineLevel="0" collapsed="false">
      <c r="A122" s="6" t="s">
        <v>88</v>
      </c>
      <c r="B122" s="6" t="s">
        <v>177</v>
      </c>
      <c r="C122" s="20" t="n">
        <v>90</v>
      </c>
    </row>
    <row r="123" customFormat="false" ht="14.25" hidden="false" customHeight="true" outlineLevel="0" collapsed="false">
      <c r="A123" s="9" t="s">
        <v>89</v>
      </c>
      <c r="B123" s="9" t="s">
        <v>177</v>
      </c>
      <c r="C123" s="25" t="n">
        <v>85</v>
      </c>
    </row>
    <row r="124" customFormat="false" ht="14.25" hidden="false" customHeight="true" outlineLevel="0" collapsed="false">
      <c r="A124" s="6" t="s">
        <v>90</v>
      </c>
      <c r="B124" s="6" t="s">
        <v>177</v>
      </c>
      <c r="C124" s="20" t="n">
        <v>95</v>
      </c>
    </row>
    <row r="125" customFormat="false" ht="14.25" hidden="false" customHeight="true" outlineLevel="0" collapsed="false">
      <c r="A125" s="9" t="s">
        <v>91</v>
      </c>
      <c r="B125" s="9" t="s">
        <v>177</v>
      </c>
      <c r="C125" s="25" t="n">
        <v>100</v>
      </c>
    </row>
    <row r="126" customFormat="false" ht="14.25" hidden="false" customHeight="true" outlineLevel="0" collapsed="false">
      <c r="A126" s="6" t="s">
        <v>88</v>
      </c>
      <c r="B126" s="6" t="s">
        <v>178</v>
      </c>
      <c r="C126" s="20" t="n">
        <v>75</v>
      </c>
    </row>
    <row r="127" customFormat="false" ht="14.25" hidden="false" customHeight="true" outlineLevel="0" collapsed="false">
      <c r="A127" s="9" t="s">
        <v>89</v>
      </c>
      <c r="B127" s="9" t="s">
        <v>178</v>
      </c>
      <c r="C127" s="25" t="n">
        <v>80</v>
      </c>
    </row>
    <row r="128" customFormat="false" ht="14.25" hidden="false" customHeight="true" outlineLevel="0" collapsed="false">
      <c r="A128" s="6" t="s">
        <v>90</v>
      </c>
      <c r="B128" s="6" t="s">
        <v>178</v>
      </c>
      <c r="C128" s="20" t="n">
        <v>85</v>
      </c>
    </row>
    <row r="129" customFormat="false" ht="14.25" hidden="false" customHeight="true" outlineLevel="0" collapsed="false">
      <c r="A129" s="9" t="s">
        <v>91</v>
      </c>
      <c r="B129" s="9" t="s">
        <v>178</v>
      </c>
      <c r="C129" s="25" t="n">
        <v>90</v>
      </c>
    </row>
    <row r="130" customFormat="false" ht="14.25" hidden="false" customHeight="true" outlineLevel="0" collapsed="false"/>
    <row r="131" customFormat="false" ht="14.25" hidden="false" customHeight="true" outlineLevel="0" collapsed="false">
      <c r="E131" s="75" t="s">
        <v>190</v>
      </c>
      <c r="F131" s="75"/>
      <c r="G131" s="75"/>
    </row>
    <row r="132" customFormat="false" ht="14.25" hidden="false" customHeight="true" outlineLevel="0" collapsed="false">
      <c r="E132" s="76" t="s">
        <v>188</v>
      </c>
      <c r="F132" s="76" t="s">
        <v>191</v>
      </c>
      <c r="G132" s="76" t="s">
        <v>192</v>
      </c>
      <c r="I132" s="75" t="s">
        <v>193</v>
      </c>
      <c r="J132" s="75"/>
      <c r="K132" s="75"/>
      <c r="L132" s="75"/>
      <c r="M132" s="75"/>
      <c r="N132" s="75"/>
      <c r="O132" s="75"/>
    </row>
    <row r="133" customFormat="false" ht="14.25" hidden="false" customHeight="true" outlineLevel="0" collapsed="false">
      <c r="E133" s="6" t="s">
        <v>173</v>
      </c>
      <c r="F133" s="6" t="s">
        <v>37</v>
      </c>
      <c r="G133" s="20" t="n">
        <v>2</v>
      </c>
      <c r="I133" s="76" t="s">
        <v>191</v>
      </c>
      <c r="J133" s="76" t="s">
        <v>194</v>
      </c>
      <c r="K133" s="76" t="s">
        <v>195</v>
      </c>
      <c r="L133" s="76" t="s">
        <v>196</v>
      </c>
      <c r="M133" s="76" t="s">
        <v>197</v>
      </c>
      <c r="N133" s="76" t="s">
        <v>198</v>
      </c>
      <c r="O133" s="76" t="s">
        <v>199</v>
      </c>
    </row>
    <row r="134" customFormat="false" ht="14.25" hidden="false" customHeight="true" outlineLevel="0" collapsed="false">
      <c r="E134" s="6" t="s">
        <v>173</v>
      </c>
      <c r="F134" s="6" t="s">
        <v>45</v>
      </c>
      <c r="G134" s="20" t="n">
        <v>1</v>
      </c>
      <c r="I134" s="6" t="s">
        <v>67</v>
      </c>
      <c r="J134" s="49" t="n">
        <v>4.5</v>
      </c>
      <c r="K134" s="49" t="n">
        <v>3.85</v>
      </c>
      <c r="L134" s="20" t="n">
        <v>200</v>
      </c>
      <c r="M134" s="20" t="n">
        <v>2</v>
      </c>
      <c r="N134" s="21" t="n">
        <v>0.4</v>
      </c>
      <c r="O134" s="49" t="n">
        <v>1.2</v>
      </c>
    </row>
    <row r="135" customFormat="false" ht="14.25" hidden="false" customHeight="true" outlineLevel="0" collapsed="false">
      <c r="E135" s="6" t="s">
        <v>173</v>
      </c>
      <c r="F135" s="6" t="s">
        <v>41</v>
      </c>
      <c r="G135" s="20" t="n">
        <v>1</v>
      </c>
      <c r="I135" s="9" t="s">
        <v>71</v>
      </c>
      <c r="J135" s="53" t="n">
        <v>6</v>
      </c>
      <c r="K135" s="53" t="n">
        <v>5.1</v>
      </c>
      <c r="L135" s="25" t="n">
        <v>150</v>
      </c>
      <c r="M135" s="25" t="n">
        <v>2</v>
      </c>
      <c r="N135" s="26" t="n">
        <v>0.5</v>
      </c>
      <c r="O135" s="53" t="n">
        <v>1.8</v>
      </c>
    </row>
    <row r="136" customFormat="false" ht="14.25" hidden="false" customHeight="true" outlineLevel="0" collapsed="false">
      <c r="E136" s="6" t="s">
        <v>174</v>
      </c>
      <c r="F136" s="6" t="s">
        <v>67</v>
      </c>
      <c r="G136" s="20" t="n">
        <v>1</v>
      </c>
      <c r="I136" s="6" t="s">
        <v>37</v>
      </c>
      <c r="J136" s="49" t="n">
        <v>1</v>
      </c>
      <c r="K136" s="49" t="n">
        <v>0.82</v>
      </c>
      <c r="L136" s="20" t="n">
        <v>300</v>
      </c>
      <c r="M136" s="20" t="n">
        <v>1</v>
      </c>
      <c r="N136" s="21" t="n">
        <v>0.04</v>
      </c>
      <c r="O136" s="49" t="n">
        <v>0.25</v>
      </c>
    </row>
    <row r="137" customFormat="false" ht="14.25" hidden="false" customHeight="true" outlineLevel="0" collapsed="false">
      <c r="E137" s="6" t="s">
        <v>174</v>
      </c>
      <c r="F137" s="6" t="s">
        <v>45</v>
      </c>
      <c r="G137" s="20" t="n">
        <v>2</v>
      </c>
      <c r="I137" s="9" t="s">
        <v>45</v>
      </c>
      <c r="J137" s="53" t="n">
        <v>0.8</v>
      </c>
      <c r="K137" s="53" t="n">
        <v>0.66</v>
      </c>
      <c r="L137" s="25" t="n">
        <v>280</v>
      </c>
      <c r="M137" s="25" t="n">
        <v>1</v>
      </c>
      <c r="N137" s="26" t="n">
        <v>0.03</v>
      </c>
      <c r="O137" s="53" t="n">
        <v>0.18</v>
      </c>
    </row>
    <row r="138" customFormat="false" ht="14.25" hidden="false" customHeight="true" outlineLevel="0" collapsed="false">
      <c r="E138" s="6" t="s">
        <v>174</v>
      </c>
      <c r="F138" s="6" t="s">
        <v>80</v>
      </c>
      <c r="G138" s="20" t="n">
        <v>1</v>
      </c>
      <c r="I138" s="6" t="s">
        <v>41</v>
      </c>
      <c r="J138" s="49" t="n">
        <v>0.5</v>
      </c>
      <c r="K138" s="49" t="n">
        <v>0.42</v>
      </c>
      <c r="L138" s="20" t="n">
        <v>400</v>
      </c>
      <c r="M138" s="20" t="n">
        <v>2</v>
      </c>
      <c r="N138" s="21" t="n">
        <v>0.05</v>
      </c>
      <c r="O138" s="49" t="n">
        <v>0.08</v>
      </c>
    </row>
    <row r="139" customFormat="false" ht="14.25" hidden="false" customHeight="true" outlineLevel="0" collapsed="false">
      <c r="E139" s="6" t="s">
        <v>175</v>
      </c>
      <c r="F139" s="6" t="s">
        <v>71</v>
      </c>
      <c r="G139" s="20" t="n">
        <v>1</v>
      </c>
      <c r="I139" s="9" t="s">
        <v>80</v>
      </c>
      <c r="J139" s="53" t="n">
        <v>0.3</v>
      </c>
      <c r="K139" s="53" t="n">
        <v>0.24</v>
      </c>
      <c r="L139" s="25" t="n">
        <v>500</v>
      </c>
      <c r="M139" s="25" t="n">
        <v>3</v>
      </c>
      <c r="N139" s="26" t="n">
        <v>0.03</v>
      </c>
      <c r="O139" s="53" t="n">
        <v>0.05</v>
      </c>
    </row>
    <row r="140" customFormat="false" ht="14.25" hidden="false" customHeight="true" outlineLevel="0" collapsed="false">
      <c r="E140" s="6" t="s">
        <v>175</v>
      </c>
      <c r="F140" s="6" t="s">
        <v>37</v>
      </c>
      <c r="G140" s="20" t="n">
        <v>1</v>
      </c>
    </row>
    <row r="141" customFormat="false" ht="14.25" hidden="false" customHeight="true" outlineLevel="0" collapsed="false">
      <c r="E141" s="6" t="s">
        <v>176</v>
      </c>
      <c r="F141" s="6" t="s">
        <v>67</v>
      </c>
      <c r="G141" s="20" t="n">
        <v>1</v>
      </c>
    </row>
    <row r="142" customFormat="false" ht="14.25" hidden="false" customHeight="true" outlineLevel="0" collapsed="false">
      <c r="E142" s="6" t="s">
        <v>176</v>
      </c>
      <c r="F142" s="6" t="s">
        <v>37</v>
      </c>
      <c r="G142" s="20" t="n">
        <v>1</v>
      </c>
    </row>
    <row r="143" customFormat="false" ht="14.25" hidden="false" customHeight="true" outlineLevel="0" collapsed="false">
      <c r="E143" s="6" t="s">
        <v>176</v>
      </c>
      <c r="F143" s="6" t="s">
        <v>45</v>
      </c>
      <c r="G143" s="20" t="n">
        <v>1</v>
      </c>
    </row>
    <row r="144" customFormat="false" ht="14.25" hidden="false" customHeight="true" outlineLevel="0" collapsed="false">
      <c r="E144" s="6" t="s">
        <v>177</v>
      </c>
      <c r="F144" s="6" t="s">
        <v>71</v>
      </c>
      <c r="G144" s="20" t="n">
        <v>1</v>
      </c>
    </row>
    <row r="145" customFormat="false" ht="14.25" hidden="false" customHeight="true" outlineLevel="0" collapsed="false">
      <c r="E145" s="6" t="s">
        <v>177</v>
      </c>
      <c r="F145" s="6" t="s">
        <v>41</v>
      </c>
      <c r="G145" s="20" t="n">
        <v>1</v>
      </c>
    </row>
    <row r="146" customFormat="false" ht="14.25" hidden="false" customHeight="true" outlineLevel="0" collapsed="false">
      <c r="E146" s="6" t="s">
        <v>178</v>
      </c>
      <c r="F146" s="6" t="s">
        <v>67</v>
      </c>
      <c r="G146" s="20" t="n">
        <v>1</v>
      </c>
    </row>
    <row r="147" customFormat="false" ht="14.25" hidden="false" customHeight="true" outlineLevel="0" collapsed="false">
      <c r="E147" s="6" t="s">
        <v>178</v>
      </c>
      <c r="F147" s="6" t="s">
        <v>41</v>
      </c>
      <c r="G147" s="20" t="n">
        <v>1</v>
      </c>
    </row>
    <row r="148" customFormat="false" ht="14.25" hidden="false" customHeight="true" outlineLevel="0" collapsed="false">
      <c r="E148" s="6" t="s">
        <v>178</v>
      </c>
      <c r="F148" s="6" t="s">
        <v>80</v>
      </c>
      <c r="G148" s="20" t="n">
        <v>2</v>
      </c>
    </row>
  </sheetData>
  <mergeCells count="16">
    <mergeCell ref="A1:O1"/>
    <mergeCell ref="A4:C4"/>
    <mergeCell ref="E19:G19"/>
    <mergeCell ref="I20:O20"/>
    <mergeCell ref="A29:C29"/>
    <mergeCell ref="E44:G44"/>
    <mergeCell ref="I45:O45"/>
    <mergeCell ref="A54:C54"/>
    <mergeCell ref="E69:G69"/>
    <mergeCell ref="I70:O70"/>
    <mergeCell ref="A79:C79"/>
    <mergeCell ref="E94:G94"/>
    <mergeCell ref="I95:O95"/>
    <mergeCell ref="A104:C104"/>
    <mergeCell ref="E131:G131"/>
    <mergeCell ref="I132:O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6"/>
    <col collapsed="false" customWidth="true" hidden="false" outlineLevel="0" max="12" min="12" style="0" width="18"/>
    <col collapsed="false" customWidth="true" hidden="false" outlineLevel="0" max="26" min="13" style="0" width="16"/>
  </cols>
  <sheetData>
    <row r="1" customFormat="false" ht="19.5" hidden="false" customHeight="true" outlineLevel="0" collapsed="false">
      <c r="A1" s="77" t="s">
        <v>200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customFormat="false" ht="14.25" hidden="false" customHeight="true" outlineLevel="0" collapsed="false">
      <c r="A2" s="79" t="s">
        <v>1</v>
      </c>
      <c r="B2" s="80" t="s">
        <v>4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customFormat="false" ht="14.25" hidden="false" customHeight="true" outlineLevel="0" collapsed="false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customFormat="false" ht="19.5" hidden="false" customHeight="true" outlineLevel="0" collapsed="false">
      <c r="A4" s="77" t="s">
        <v>201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customFormat="false" ht="14.25" hidden="false" customHeight="true" outlineLevel="0" collapsed="false">
      <c r="A5" s="79" t="s">
        <v>87</v>
      </c>
      <c r="B5" s="79" t="s">
        <v>88</v>
      </c>
      <c r="C5" s="79" t="s">
        <v>89</v>
      </c>
      <c r="D5" s="79" t="s">
        <v>90</v>
      </c>
      <c r="E5" s="79" t="s">
        <v>91</v>
      </c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customFormat="false" ht="14.25" hidden="false" customHeight="true" outlineLevel="0" collapsed="false">
      <c r="A6" s="80" t="str">
        <f aca="true">IFERROR(INDIRECT("'"&amp;$B$2&amp;"'!A6"),"")</f>
        <v>D1 (Tomato-Egg)</v>
      </c>
      <c r="B6" s="80" t="n">
        <f aca="true">IFERROR(INDIRECT("'"&amp;$B$2&amp;"'!B6"),"")</f>
        <v>80</v>
      </c>
      <c r="C6" s="80" t="n">
        <f aca="true">IFERROR(INDIRECT("'"&amp;$B$2&amp;"'!C6"),"")</f>
        <v>90</v>
      </c>
      <c r="D6" s="80" t="n">
        <f aca="true">IFERROR(INDIRECT("'"&amp;$B$2&amp;"'!D6"),"")</f>
        <v>70</v>
      </c>
      <c r="E6" s="80" t="n">
        <f aca="true">IFERROR(INDIRECT("'"&amp;$B$2&amp;"'!E6"),"")</f>
        <v>100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customFormat="false" ht="14.25" hidden="false" customHeight="true" outlineLevel="0" collapsed="false">
      <c r="A7" s="80" t="str">
        <f aca="true">IFERROR(INDIRECT("'"&amp;$B$2&amp;"'!A7"),"")</f>
        <v>D2 (Spinach)</v>
      </c>
      <c r="B7" s="80" t="n">
        <f aca="true">IFERROR(INDIRECT("'"&amp;$B$2&amp;"'!B7"),"")</f>
        <v>60</v>
      </c>
      <c r="C7" s="80" t="n">
        <f aca="true">IFERROR(INDIRECT("'"&amp;$B$2&amp;"'!C7"),"")</f>
        <v>80</v>
      </c>
      <c r="D7" s="80" t="n">
        <f aca="true">IFERROR(INDIRECT("'"&amp;$B$2&amp;"'!D7"),"")</f>
        <v>90</v>
      </c>
      <c r="E7" s="80" t="n">
        <f aca="true">IFERROR(INDIRECT("'"&amp;$B$2&amp;"'!E7"),"")</f>
        <v>70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customFormat="false" ht="14.25" hidden="false" customHeight="true" outlineLevel="0" collapsed="false">
      <c r="A8" s="80" t="str">
        <f aca="true">IFERROR(INDIRECT("'"&amp;$B$2&amp;"'!A8"),"")</f>
        <v>D3 (Chicken)</v>
      </c>
      <c r="B8" s="80" t="n">
        <f aca="true">IFERROR(INDIRECT("'"&amp;$B$2&amp;"'!B8"),"")</f>
        <v>50</v>
      </c>
      <c r="C8" s="80" t="n">
        <f aca="true">IFERROR(INDIRECT("'"&amp;$B$2&amp;"'!C8"),"")</f>
        <v>60</v>
      </c>
      <c r="D8" s="80" t="n">
        <f aca="true">IFERROR(INDIRECT("'"&amp;$B$2&amp;"'!D8"),"")</f>
        <v>80</v>
      </c>
      <c r="E8" s="80" t="n">
        <f aca="true">IFERROR(INDIRECT("'"&amp;$B$2&amp;"'!E8"),"")</f>
        <v>90</v>
      </c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customFormat="false" ht="14.25" hidden="false" customHeight="true" outlineLevel="0" collapsed="false">
      <c r="A9" s="80" t="n">
        <f aca="true">IFERROR(INDIRECT("'"&amp;$B$2&amp;"'!A9"),"")</f>
        <v>0</v>
      </c>
      <c r="B9" s="80" t="n">
        <f aca="true">IFERROR(INDIRECT("'"&amp;$B$2&amp;"'!B9"),"")</f>
        <v>0</v>
      </c>
      <c r="C9" s="80" t="n">
        <f aca="true">IFERROR(INDIRECT("'"&amp;$B$2&amp;"'!C9"),"")</f>
        <v>0</v>
      </c>
      <c r="D9" s="80" t="n">
        <f aca="true">IFERROR(INDIRECT("'"&amp;$B$2&amp;"'!D9"),"")</f>
        <v>0</v>
      </c>
      <c r="E9" s="80" t="n">
        <f aca="true">IFERROR(INDIRECT("'"&amp;$B$2&amp;"'!E9"),"")</f>
        <v>0</v>
      </c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customFormat="false" ht="14.25" hidden="false" customHeight="true" outlineLevel="0" collapsed="false">
      <c r="A10" s="80" t="str">
        <f aca="true">IFERROR(INDIRECT("'"&amp;$B$2&amp;"'!A10"),"")</f>
        <v>B.  Recipes  (units of ingredient per serving)</v>
      </c>
      <c r="B10" s="80" t="n">
        <f aca="true">IFERROR(INDIRECT("'"&amp;$B$2&amp;"'!B10"),"")</f>
        <v>0</v>
      </c>
      <c r="C10" s="80" t="n">
        <f aca="true">IFERROR(INDIRECT("'"&amp;$B$2&amp;"'!C10"),"")</f>
        <v>0</v>
      </c>
      <c r="D10" s="80" t="n">
        <f aca="true">IFERROR(INDIRECT("'"&amp;$B$2&amp;"'!D10"),"")</f>
        <v>0</v>
      </c>
      <c r="E10" s="80" t="n">
        <f aca="true">IFERROR(INDIRECT("'"&amp;$B$2&amp;"'!E10"),"")</f>
        <v>0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customFormat="false" ht="14.25" hidden="false" customHeight="true" outlineLevel="0" collapsed="false">
      <c r="A11" s="80" t="str">
        <f aca="true">IFERROR(INDIRECT("'"&amp;$B$2&amp;"'!A11"),"")</f>
        <v>Dish \ Ingredient</v>
      </c>
      <c r="B11" s="80" t="str">
        <f aca="true">IFERROR(INDIRECT("'"&amp;$B$2&amp;"'!B11"),"")</f>
        <v>Chicken Leg</v>
      </c>
      <c r="C11" s="80" t="str">
        <f aca="true">IFERROR(INDIRECT("'"&amp;$B$2&amp;"'!C11"),"")</f>
        <v>Tomato</v>
      </c>
      <c r="D11" s="80" t="str">
        <f aca="true">IFERROR(INDIRECT("'"&amp;$B$2&amp;"'!D11"),"")</f>
        <v>Egg</v>
      </c>
      <c r="E11" s="80" t="str">
        <f aca="true">IFERROR(INDIRECT("'"&amp;$B$2&amp;"'!E11"),"")</f>
        <v>Spinach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customFormat="false" ht="14.25" hidden="false" customHeight="true" outlineLevel="0" collapsed="false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customFormat="false" ht="19.5" hidden="false" customHeight="true" outlineLevel="0" collapsed="false">
      <c r="A13" s="77" t="s">
        <v>202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customFormat="false" ht="14.25" hidden="false" customHeight="true" outlineLevel="0" collapsed="false">
      <c r="A14" s="79" t="str">
        <f aca="true">IF($B$2="Instance 5 (Large)",IFERROR(INDIRECT("'"&amp;$B$2&amp;"'!A14"),""),IFERROR(INDIRECT("'"&amp;$B$2&amp;"'!A11"),""))</f>
        <v>Dish \ Ingredient</v>
      </c>
      <c r="B14" s="79" t="str">
        <f aca="true">IF($B$2="Instance 5 (Large)",IFERROR(INDIRECT("'"&amp;$B$2&amp;"'!B14"),""),IFERROR(INDIRECT("'"&amp;$B$2&amp;"'!B11"),""))</f>
        <v>Chicken Leg</v>
      </c>
      <c r="C14" s="79" t="str">
        <f aca="true">IF($B$2="Instance 5 (Large)",IFERROR(INDIRECT("'"&amp;$B$2&amp;"'!C14"),""),IFERROR(INDIRECT("'"&amp;$B$2&amp;"'!C11"),""))</f>
        <v>Tomato</v>
      </c>
      <c r="D14" s="79" t="str">
        <f aca="true">IF($B$2="Instance 5 (Large)",IFERROR(INDIRECT("'"&amp;$B$2&amp;"'!D14"),""),IFERROR(INDIRECT("'"&amp;$B$2&amp;"'!D11"),""))</f>
        <v>Egg</v>
      </c>
      <c r="E14" s="79" t="str">
        <f aca="true">IF($B$2="Instance 5 (Large)",IFERROR(INDIRECT("'"&amp;$B$2&amp;"'!E14"),""),IFERROR(INDIRECT("'"&amp;$B$2&amp;"'!E11"),""))</f>
        <v>Spinach</v>
      </c>
      <c r="F14" s="79" t="str">
        <f aca="true">IF($B$2="Instance 5 (Large)",IFERROR(INDIRECT("'"&amp;$B$2&amp;"'!F14"),""),"")</f>
        <v/>
      </c>
      <c r="G14" s="79" t="str">
        <f aca="true">IF($B$2="Instance 5 (Large)",IFERROR(INDIRECT("'"&amp;$B$2&amp;"'!G14"),""),"")</f>
        <v/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customFormat="false" ht="14.25" hidden="false" customHeight="true" outlineLevel="0" collapsed="false">
      <c r="A15" s="80" t="str">
        <f aca="true">IF($B$2="Instance 5 (Large)",IFERROR(INDIRECT("'"&amp;$B$2&amp;"'!A15"),""),IFERROR(INDIRECT("'"&amp;$B$2&amp;"'!A12"),""))</f>
        <v>D1 (Tomato-Egg)</v>
      </c>
      <c r="B15" s="80" t="n">
        <f aca="true">IF($B$2="Instance 5 (Large)",IFERROR(INDIRECT("'"&amp;$B$2&amp;"'!B15"),""),IFERROR(INDIRECT("'"&amp;$B$2&amp;"'!B12"),""))</f>
        <v>0</v>
      </c>
      <c r="C15" s="80" t="n">
        <f aca="true">IF($B$2="Instance 5 (Large)",IFERROR(INDIRECT("'"&amp;$B$2&amp;"'!C15"),""),IFERROR(INDIRECT("'"&amp;$B$2&amp;"'!C12"),""))</f>
        <v>1</v>
      </c>
      <c r="D15" s="80" t="n">
        <f aca="true">IF($B$2="Instance 5 (Large)",IFERROR(INDIRECT("'"&amp;$B$2&amp;"'!D15"),""),IFERROR(INDIRECT("'"&amp;$B$2&amp;"'!D12"),""))</f>
        <v>1</v>
      </c>
      <c r="E15" s="80" t="n">
        <f aca="true">IF($B$2="Instance 5 (Large)",IFERROR(INDIRECT("'"&amp;$B$2&amp;"'!E15"),""),IFERROR(INDIRECT("'"&amp;$B$2&amp;"'!E12"),""))</f>
        <v>0</v>
      </c>
      <c r="F15" s="80" t="str">
        <f aca="true">IF($B$2="Instance 5 (Large)",IFERROR(INDIRECT("'"&amp;$B$2&amp;"'!F15"),""),"")</f>
        <v/>
      </c>
      <c r="G15" s="80" t="str">
        <f aca="true">IF($B$2="Instance 5 (Large)",IFERROR(INDIRECT("'"&amp;$B$2&amp;"'!G15"),""),"")</f>
        <v/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customFormat="false" ht="14.25" hidden="false" customHeight="true" outlineLevel="0" collapsed="false">
      <c r="A16" s="80" t="str">
        <f aca="true">IF($B$2="Instance 5 (Large)",IFERROR(INDIRECT("'"&amp;$B$2&amp;"'!A16"),""),IFERROR(INDIRECT("'"&amp;$B$2&amp;"'!A13"),""))</f>
        <v>D2 (Spinach)</v>
      </c>
      <c r="B16" s="80" t="n">
        <f aca="true">IF($B$2="Instance 5 (Large)",IFERROR(INDIRECT("'"&amp;$B$2&amp;"'!B16"),""),IFERROR(INDIRECT("'"&amp;$B$2&amp;"'!B13"),""))</f>
        <v>0</v>
      </c>
      <c r="C16" s="80" t="n">
        <f aca="true">IF($B$2="Instance 5 (Large)",IFERROR(INDIRECT("'"&amp;$B$2&amp;"'!C16"),""),IFERROR(INDIRECT("'"&amp;$B$2&amp;"'!C13"),""))</f>
        <v>0</v>
      </c>
      <c r="D16" s="80" t="n">
        <f aca="true">IF($B$2="Instance 5 (Large)",IFERROR(INDIRECT("'"&amp;$B$2&amp;"'!D16"),""),IFERROR(INDIRECT("'"&amp;$B$2&amp;"'!D13"),""))</f>
        <v>0</v>
      </c>
      <c r="E16" s="80" t="n">
        <f aca="true">IF($B$2="Instance 5 (Large)",IFERROR(INDIRECT("'"&amp;$B$2&amp;"'!E16"),""),IFERROR(INDIRECT("'"&amp;$B$2&amp;"'!E13"),""))</f>
        <v>2</v>
      </c>
      <c r="F16" s="80" t="str">
        <f aca="true">IF($B$2="Instance 5 (Large)",IFERROR(INDIRECT("'"&amp;$B$2&amp;"'!F16"),""),"")</f>
        <v/>
      </c>
      <c r="G16" s="80" t="str">
        <f aca="true">IF($B$2="Instance 5 (Large)",IFERROR(INDIRECT("'"&amp;$B$2&amp;"'!G16"),""),"")</f>
        <v/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customFormat="false" ht="14.25" hidden="false" customHeight="true" outlineLevel="0" collapsed="false">
      <c r="A17" s="80" t="str">
        <f aca="true">IF($B$2="Instance 5 (Large)",IFERROR(INDIRECT("'"&amp;$B$2&amp;"'!A17"),""),IFERROR(INDIRECT("'"&amp;$B$2&amp;"'!A14"),""))</f>
        <v>D3 (Chicken)</v>
      </c>
      <c r="B17" s="80" t="n">
        <f aca="true">IF($B$2="Instance 5 (Large)",IFERROR(INDIRECT("'"&amp;$B$2&amp;"'!B17"),""),IFERROR(INDIRECT("'"&amp;$B$2&amp;"'!B14"),""))</f>
        <v>1</v>
      </c>
      <c r="C17" s="80" t="n">
        <f aca="true">IF($B$2="Instance 5 (Large)",IFERROR(INDIRECT("'"&amp;$B$2&amp;"'!C17"),""),IFERROR(INDIRECT("'"&amp;$B$2&amp;"'!C14"),""))</f>
        <v>0</v>
      </c>
      <c r="D17" s="80" t="n">
        <f aca="true">IF($B$2="Instance 5 (Large)",IFERROR(INDIRECT("'"&amp;$B$2&amp;"'!D17"),""),IFERROR(INDIRECT("'"&amp;$B$2&amp;"'!D14"),""))</f>
        <v>0</v>
      </c>
      <c r="E17" s="80" t="n">
        <f aca="true">IF($B$2="Instance 5 (Large)",IFERROR(INDIRECT("'"&amp;$B$2&amp;"'!E17"),""),IFERROR(INDIRECT("'"&amp;$B$2&amp;"'!E14"),""))</f>
        <v>0</v>
      </c>
      <c r="F17" s="80" t="str">
        <f aca="true">IF($B$2="Instance 5 (Large)",IFERROR(INDIRECT("'"&amp;$B$2&amp;"'!F17"),""),"")</f>
        <v/>
      </c>
      <c r="G17" s="80" t="str">
        <f aca="true">IF($B$2="Instance 5 (Large)",IFERROR(INDIRECT("'"&amp;$B$2&amp;"'!G17"),""),"")</f>
        <v/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customFormat="false" ht="14.25" hidden="false" customHeight="true" outlineLevel="0" collapsed="false">
      <c r="A18" s="80" t="str">
        <f aca="true">IF($B$2="Instance 5 (Large)",IFERROR(INDIRECT("'"&amp;$B$2&amp;"'!A18"),""),"")</f>
        <v/>
      </c>
      <c r="B18" s="80" t="str">
        <f aca="true">IF($B$2="Instance 5 (Large)",IFERROR(INDIRECT("'"&amp;$B$2&amp;"'!B18"),""),"")</f>
        <v/>
      </c>
      <c r="C18" s="80" t="str">
        <f aca="true">IF($B$2="Instance 5 (Large)",IFERROR(INDIRECT("'"&amp;$B$2&amp;"'!C18"),""),"")</f>
        <v/>
      </c>
      <c r="D18" s="80" t="str">
        <f aca="true">IF($B$2="Instance 5 (Large)",IFERROR(INDIRECT("'"&amp;$B$2&amp;"'!D18"),""),"")</f>
        <v/>
      </c>
      <c r="E18" s="80" t="str">
        <f aca="true">IF($B$2="Instance 5 (Large)",IFERROR(INDIRECT("'"&amp;$B$2&amp;"'!E18"),""),"")</f>
        <v/>
      </c>
      <c r="F18" s="80" t="str">
        <f aca="true">IF($B$2="Instance 5 (Large)",IFERROR(INDIRECT("'"&amp;$B$2&amp;"'!F18"),""),"")</f>
        <v/>
      </c>
      <c r="G18" s="80" t="str">
        <f aca="true">IF($B$2="Instance 5 (Large)",IFERROR(INDIRECT("'"&amp;$B$2&amp;"'!G18"),""),"")</f>
        <v/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customFormat="false" ht="14.25" hidden="false" customHeight="true" outlineLevel="0" collapsed="false">
      <c r="A19" s="80" t="str">
        <f aca="true">IF($B$2="Instance 5 (Large)",IFERROR(INDIRECT("'"&amp;$B$2&amp;"'!A19"),""),"")</f>
        <v/>
      </c>
      <c r="B19" s="80" t="str">
        <f aca="true">IF($B$2="Instance 5 (Large)",IFERROR(INDIRECT("'"&amp;$B$2&amp;"'!B19"),""),"")</f>
        <v/>
      </c>
      <c r="C19" s="80" t="str">
        <f aca="true">IF($B$2="Instance 5 (Large)",IFERROR(INDIRECT("'"&amp;$B$2&amp;"'!C19"),""),"")</f>
        <v/>
      </c>
      <c r="D19" s="80" t="str">
        <f aca="true">IF($B$2="Instance 5 (Large)",IFERROR(INDIRECT("'"&amp;$B$2&amp;"'!D19"),""),"")</f>
        <v/>
      </c>
      <c r="E19" s="80" t="str">
        <f aca="true">IF($B$2="Instance 5 (Large)",IFERROR(INDIRECT("'"&amp;$B$2&amp;"'!E19"),""),"")</f>
        <v/>
      </c>
      <c r="F19" s="80" t="str">
        <f aca="true">IF($B$2="Instance 5 (Large)",IFERROR(INDIRECT("'"&amp;$B$2&amp;"'!F19"),""),"")</f>
        <v/>
      </c>
      <c r="G19" s="80" t="str">
        <f aca="true">IF($B$2="Instance 5 (Large)",IFERROR(INDIRECT("'"&amp;$B$2&amp;"'!G19"),""),"")</f>
        <v/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customFormat="false" ht="14.25" hidden="false" customHeight="true" outlineLevel="0" collapsed="false">
      <c r="A20" s="80" t="str">
        <f aca="true">IF($B$2="Instance 5 (Large)",IFERROR(INDIRECT("'"&amp;$B$2&amp;"'!A20"),""),"")</f>
        <v/>
      </c>
      <c r="B20" s="80" t="str">
        <f aca="true">IF($B$2="Instance 5 (Large)",IFERROR(INDIRECT("'"&amp;$B$2&amp;"'!B20"),""),"")</f>
        <v/>
      </c>
      <c r="C20" s="80" t="str">
        <f aca="true">IF($B$2="Instance 5 (Large)",IFERROR(INDIRECT("'"&amp;$B$2&amp;"'!C20"),""),"")</f>
        <v/>
      </c>
      <c r="D20" s="80" t="str">
        <f aca="true">IF($B$2="Instance 5 (Large)",IFERROR(INDIRECT("'"&amp;$B$2&amp;"'!D20"),""),"")</f>
        <v/>
      </c>
      <c r="E20" s="80" t="str">
        <f aca="true">IF($B$2="Instance 5 (Large)",IFERROR(INDIRECT("'"&amp;$B$2&amp;"'!E20"),""),"")</f>
        <v/>
      </c>
      <c r="F20" s="80" t="str">
        <f aca="true">IF($B$2="Instance 5 (Large)",IFERROR(INDIRECT("'"&amp;$B$2&amp;"'!F20"),""),"")</f>
        <v/>
      </c>
      <c r="G20" s="80" t="str">
        <f aca="true">IF($B$2="Instance 5 (Large)",IFERROR(INDIRECT("'"&amp;$B$2&amp;"'!G20"),""),"")</f>
        <v/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customFormat="false" ht="15.75" hidden="false" customHeight="true" outlineLevel="0" collapsed="false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customFormat="false" ht="19.5" hidden="false" customHeight="true" outlineLevel="0" collapsed="false">
      <c r="A22" s="77" t="s">
        <v>203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customFormat="false" ht="15.75" hidden="false" customHeight="true" outlineLevel="0" collapsed="false">
      <c r="A23" s="79" t="s">
        <v>22</v>
      </c>
      <c r="B23" s="79" t="s">
        <v>204</v>
      </c>
      <c r="C23" s="79" t="s">
        <v>205</v>
      </c>
      <c r="D23" s="79" t="s">
        <v>206</v>
      </c>
      <c r="E23" s="79" t="s">
        <v>207</v>
      </c>
      <c r="F23" s="79" t="s">
        <v>208</v>
      </c>
      <c r="G23" s="79" t="s">
        <v>209</v>
      </c>
      <c r="H23" s="79" t="s">
        <v>210</v>
      </c>
      <c r="I23" s="79" t="s">
        <v>211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customFormat="false" ht="15.75" hidden="false" customHeight="true" outlineLevel="0" collapsed="false">
      <c r="A24" s="80" t="str">
        <f aca="true">IF($B$2="Instance 5 (Large)",IFERROR(INDIRECT("'"&amp;$B$2&amp;"'!A33"),""),IFERROR(INDIRECT("'"&amp;$B$2&amp;"'!A25"),""))</f>
        <v>Chicken Leg</v>
      </c>
      <c r="B24" s="80" t="n">
        <f aca="true">IF($B$2="Instance 5 (Large)",IFERROR(INDIRECT("'"&amp;$B$2&amp;"'!B33"),""),IFERROR(INDIRECT("'"&amp;$B$2&amp;"'!B25"),""))</f>
        <v>5</v>
      </c>
      <c r="C24" s="80" t="n">
        <f aca="true">IF($B$2="Instance 5 (Large)",IFERROR(INDIRECT("'"&amp;$B$2&amp;"'!C33"),""),IFERROR(INDIRECT("'"&amp;$B$2&amp;"'!C25"),""))</f>
        <v>4.5</v>
      </c>
      <c r="D24" s="80" t="n">
        <f aca="true">IF($B$2="Instance 5 (Large)",IFERROR(INDIRECT("'"&amp;$B$2&amp;"'!D33"),""),IFERROR(INDIRECT("'"&amp;$B$2&amp;"'!D25"),""))</f>
        <v>120</v>
      </c>
      <c r="E24" s="80" t="n">
        <f aca="true">IF($B$2="Instance 5 (Large)",IFERROR(INDIRECT("'"&amp;$B$2&amp;"'!E33"),""),IFERROR(INDIRECT("'"&amp;$B$2&amp;"'!E25"),""))</f>
        <v>2</v>
      </c>
      <c r="F24" s="80" t="n">
        <f aca="true">IF($B$2="Instance 5 (Large)",IFERROR(INDIRECT("'"&amp;$B$2&amp;"'!F33"),""),IFERROR(INDIRECT("'"&amp;$B$2&amp;"'!F25"),""))</f>
        <v>0.3</v>
      </c>
      <c r="G24" s="80" t="n">
        <f aca="true">IF($B$2="Instance 5 (Large)",IFERROR(INDIRECT("'"&amp;$B$2&amp;"'!G33"),""),IFERROR(INDIRECT("'"&amp;$B$2&amp;"'!G25"),""))</f>
        <v>1</v>
      </c>
      <c r="H24" s="81" t="n">
        <f aca="false">IF(A24="","",IF(B24=0,"",(B24-C24)/B24))</f>
        <v>0.1</v>
      </c>
      <c r="I24" s="82" t="n">
        <f aca="false">IF(A24="","",IF(F24=0,"",G24/F24))</f>
        <v>3.33333333333333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customFormat="false" ht="15.75" hidden="false" customHeight="true" outlineLevel="0" collapsed="false">
      <c r="A25" s="80" t="str">
        <f aca="true">IF($B$2="Instance 5 (Large)",IFERROR(INDIRECT("'"&amp;$B$2&amp;"'!A34"),""),IFERROR(INDIRECT("'"&amp;$B$2&amp;"'!A26"),""))</f>
        <v>Tomato</v>
      </c>
      <c r="B25" s="80" t="n">
        <f aca="true">IF($B$2="Instance 5 (Large)",IFERROR(INDIRECT("'"&amp;$B$2&amp;"'!B34"),""),IFERROR(INDIRECT("'"&amp;$B$2&amp;"'!B26"),""))</f>
        <v>1</v>
      </c>
      <c r="C25" s="80" t="n">
        <f aca="true">IF($B$2="Instance 5 (Large)",IFERROR(INDIRECT("'"&amp;$B$2&amp;"'!C34"),""),IFERROR(INDIRECT("'"&amp;$B$2&amp;"'!C26"),""))</f>
        <v>0.85</v>
      </c>
      <c r="D25" s="80" t="n">
        <f aca="true">IF($B$2="Instance 5 (Large)",IFERROR(INDIRECT("'"&amp;$B$2&amp;"'!D34"),""),IFERROR(INDIRECT("'"&amp;$B$2&amp;"'!D26"),""))</f>
        <v>85</v>
      </c>
      <c r="E25" s="80" t="n">
        <f aca="true">IF($B$2="Instance 5 (Large)",IFERROR(INDIRECT("'"&amp;$B$2&amp;"'!E34"),""),IFERROR(INDIRECT("'"&amp;$B$2&amp;"'!E26"),""))</f>
        <v>1</v>
      </c>
      <c r="F25" s="80" t="n">
        <f aca="true">IF($B$2="Instance 5 (Large)",IFERROR(INDIRECT("'"&amp;$B$2&amp;"'!F34"),""),IFERROR(INDIRECT("'"&amp;$B$2&amp;"'!F26"),""))</f>
        <v>0.05</v>
      </c>
      <c r="G25" s="80" t="n">
        <f aca="true">IF($B$2="Instance 5 (Large)",IFERROR(INDIRECT("'"&amp;$B$2&amp;"'!G34"),""),IFERROR(INDIRECT("'"&amp;$B$2&amp;"'!G26"),""))</f>
        <v>0.3</v>
      </c>
      <c r="H25" s="81" t="n">
        <f aca="false">IF(A25="","",IF(B25=0,"",(B25-C25)/B25))</f>
        <v>0.15</v>
      </c>
      <c r="I25" s="82" t="n">
        <f aca="false">IF(A25="","",IF(F25=0,"",G25/F25))</f>
        <v>6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customFormat="false" ht="15.75" hidden="false" customHeight="true" outlineLevel="0" collapsed="false">
      <c r="A26" s="80" t="str">
        <f aca="true">IF($B$2="Instance 5 (Large)",IFERROR(INDIRECT("'"&amp;$B$2&amp;"'!A35"),""),IFERROR(INDIRECT("'"&amp;$B$2&amp;"'!A27"),""))</f>
        <v>Egg</v>
      </c>
      <c r="B26" s="80" t="n">
        <f aca="true">IF($B$2="Instance 5 (Large)",IFERROR(INDIRECT("'"&amp;$B$2&amp;"'!B35"),""),IFERROR(INDIRECT("'"&amp;$B$2&amp;"'!B27"),""))</f>
        <v>0.5</v>
      </c>
      <c r="C26" s="80" t="n">
        <f aca="true">IF($B$2="Instance 5 (Large)",IFERROR(INDIRECT("'"&amp;$B$2&amp;"'!C35"),""),IFERROR(INDIRECT("'"&amp;$B$2&amp;"'!C27"),""))</f>
        <v>0.44</v>
      </c>
      <c r="D26" s="80" t="n">
        <f aca="true">IF($B$2="Instance 5 (Large)",IFERROR(INDIRECT("'"&amp;$B$2&amp;"'!D35"),""),IFERROR(INDIRECT("'"&amp;$B$2&amp;"'!D27"),""))</f>
        <v>140</v>
      </c>
      <c r="E26" s="80" t="n">
        <f aca="true">IF($B$2="Instance 5 (Large)",IFERROR(INDIRECT("'"&amp;$B$2&amp;"'!E35"),""),IFERROR(INDIRECT("'"&amp;$B$2&amp;"'!E27"),""))</f>
        <v>2</v>
      </c>
      <c r="F26" s="80" t="n">
        <f aca="true">IF($B$2="Instance 5 (Large)",IFERROR(INDIRECT("'"&amp;$B$2&amp;"'!F35"),""),IFERROR(INDIRECT("'"&amp;$B$2&amp;"'!F27"),""))</f>
        <v>0.04</v>
      </c>
      <c r="G26" s="80" t="n">
        <f aca="true">IF($B$2="Instance 5 (Large)",IFERROR(INDIRECT("'"&amp;$B$2&amp;"'!G35"),""),IFERROR(INDIRECT("'"&amp;$B$2&amp;"'!G27"),""))</f>
        <v>0.1</v>
      </c>
      <c r="H26" s="81" t="n">
        <f aca="false">IF(A26="","",IF(B26=0,"",(B26-C26)/B26))</f>
        <v>0.12</v>
      </c>
      <c r="I26" s="82" t="n">
        <f aca="false">IF(A26="","",IF(F26=0,"",G26/F26))</f>
        <v>2.5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customFormat="false" ht="15.75" hidden="false" customHeight="true" outlineLevel="0" collapsed="false">
      <c r="A27" s="80" t="str">
        <f aca="true">IF($B$2="Instance 5 (Large)",IFERROR(INDIRECT("'"&amp;$B$2&amp;"'!A36"),""),IFERROR(INDIRECT("'"&amp;$B$2&amp;"'!A28"),""))</f>
        <v>Spinach</v>
      </c>
      <c r="B27" s="80" t="n">
        <f aca="true">IF($B$2="Instance 5 (Large)",IFERROR(INDIRECT("'"&amp;$B$2&amp;"'!B36"),""),IFERROR(INDIRECT("'"&amp;$B$2&amp;"'!B28"),""))</f>
        <v>0.8</v>
      </c>
      <c r="C27" s="80" t="n">
        <f aca="true">IF($B$2="Instance 5 (Large)",IFERROR(INDIRECT("'"&amp;$B$2&amp;"'!C36"),""),IFERROR(INDIRECT("'"&amp;$B$2&amp;"'!C28"),""))</f>
        <v>0.74</v>
      </c>
      <c r="D27" s="80" t="n">
        <f aca="true">IF($B$2="Instance 5 (Large)",IFERROR(INDIRECT("'"&amp;$B$2&amp;"'!D36"),""),IFERROR(INDIRECT("'"&amp;$B$2&amp;"'!D28"),""))</f>
        <v>160</v>
      </c>
      <c r="E27" s="80" t="n">
        <f aca="true">IF($B$2="Instance 5 (Large)",IFERROR(INDIRECT("'"&amp;$B$2&amp;"'!E36"),""),IFERROR(INDIRECT("'"&amp;$B$2&amp;"'!E28"),""))</f>
        <v>1</v>
      </c>
      <c r="F27" s="80" t="n">
        <f aca="true">IF($B$2="Instance 5 (Large)",IFERROR(INDIRECT("'"&amp;$B$2&amp;"'!F36"),""),IFERROR(INDIRECT("'"&amp;$B$2&amp;"'!F28"),""))</f>
        <v>0.03</v>
      </c>
      <c r="G27" s="80" t="n">
        <f aca="true">IF($B$2="Instance 5 (Large)",IFERROR(INDIRECT("'"&amp;$B$2&amp;"'!G36"),""),IFERROR(INDIRECT("'"&amp;$B$2&amp;"'!G28"),""))</f>
        <v>0.2</v>
      </c>
      <c r="H27" s="81" t="n">
        <f aca="false">IF(A27="","",IF(B27=0,"",(B27-C27)/B27))</f>
        <v>0.0750000000000001</v>
      </c>
      <c r="I27" s="82" t="n">
        <f aca="false">IF(A27="","",IF(F27=0,"",G27/F27))</f>
        <v>6.66666666666667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customFormat="false" ht="15.75" hidden="false" customHeight="true" outlineLevel="0" collapsed="false">
      <c r="A28" s="80" t="str">
        <f aca="true">IF($B$2="Instance 5 (Large)",IFERROR(INDIRECT("'"&amp;$B$2&amp;"'!A37"),""),"")</f>
        <v/>
      </c>
      <c r="B28" s="80" t="str">
        <f aca="true">IF($B$2="Instance 5 (Large)",IFERROR(INDIRECT("'"&amp;$B$2&amp;"'!B37"),""),"")</f>
        <v/>
      </c>
      <c r="C28" s="80" t="str">
        <f aca="true">IF($B$2="Instance 5 (Large)",IFERROR(INDIRECT("'"&amp;$B$2&amp;"'!C37"),""),"")</f>
        <v/>
      </c>
      <c r="D28" s="80" t="str">
        <f aca="true">IF($B$2="Instance 5 (Large)",IFERROR(INDIRECT("'"&amp;$B$2&amp;"'!D37"),""),"")</f>
        <v/>
      </c>
      <c r="E28" s="80" t="str">
        <f aca="true">IF($B$2="Instance 5 (Large)",IFERROR(INDIRECT("'"&amp;$B$2&amp;"'!E37"),""),"")</f>
        <v/>
      </c>
      <c r="F28" s="80" t="str">
        <f aca="true">IF($B$2="Instance 5 (Large)",IFERROR(INDIRECT("'"&amp;$B$2&amp;"'!F37"),""),"")</f>
        <v/>
      </c>
      <c r="G28" s="80" t="str">
        <f aca="true">IF($B$2="Instance 5 (Large)",IFERROR(INDIRECT("'"&amp;$B$2&amp;"'!G37"),""),"")</f>
        <v/>
      </c>
      <c r="H28" s="81" t="str">
        <f aca="false">IF(A28="","",IF(B28=0,"",(B28-C28)/B28))</f>
        <v/>
      </c>
      <c r="I28" s="82" t="str">
        <f aca="false">IF(A28="","",IF(F28=0,"",G28/F28))</f>
        <v/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customFormat="false" ht="15.75" hidden="false" customHeight="true" outlineLevel="0" collapsed="false">
      <c r="A29" s="80" t="str">
        <f aca="true">IF($B$2="Instance 5 (Large)",IFERROR(INDIRECT("'"&amp;$B$2&amp;"'!A38"),""),"")</f>
        <v/>
      </c>
      <c r="B29" s="80" t="str">
        <f aca="true">IF($B$2="Instance 5 (Large)",IFERROR(INDIRECT("'"&amp;$B$2&amp;"'!B38"),""),"")</f>
        <v/>
      </c>
      <c r="C29" s="80" t="str">
        <f aca="true">IF($B$2="Instance 5 (Large)",IFERROR(INDIRECT("'"&amp;$B$2&amp;"'!C38"),""),"")</f>
        <v/>
      </c>
      <c r="D29" s="80" t="str">
        <f aca="true">IF($B$2="Instance 5 (Large)",IFERROR(INDIRECT("'"&amp;$B$2&amp;"'!D38"),""),"")</f>
        <v/>
      </c>
      <c r="E29" s="80" t="str">
        <f aca="true">IF($B$2="Instance 5 (Large)",IFERROR(INDIRECT("'"&amp;$B$2&amp;"'!E38"),""),"")</f>
        <v/>
      </c>
      <c r="F29" s="80" t="str">
        <f aca="true">IF($B$2="Instance 5 (Large)",IFERROR(INDIRECT("'"&amp;$B$2&amp;"'!F38"),""),"")</f>
        <v/>
      </c>
      <c r="G29" s="80" t="str">
        <f aca="true">IF($B$2="Instance 5 (Large)",IFERROR(INDIRECT("'"&amp;$B$2&amp;"'!G38"),""),"")</f>
        <v/>
      </c>
      <c r="H29" s="81" t="str">
        <f aca="false">IF(A29="","",IF(B29=0,"",(B29-C29)/B29))</f>
        <v/>
      </c>
      <c r="I29" s="82" t="str">
        <f aca="false">IF(A29="","",IF(F29=0,"",G29/F29))</f>
        <v/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customFormat="false" ht="15.75" hidden="false" customHeight="true" outlineLevel="0" collapsed="false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customFormat="false" ht="19.5" hidden="false" customHeight="true" outlineLevel="0" collapsed="false">
      <c r="A31" s="77" t="s">
        <v>212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customFormat="false" ht="15.75" hidden="false" customHeight="true" outlineLevel="0" collapsed="false">
      <c r="A32" s="79" t="s">
        <v>22</v>
      </c>
      <c r="B32" s="79" t="s">
        <v>88</v>
      </c>
      <c r="C32" s="79" t="s">
        <v>89</v>
      </c>
      <c r="D32" s="79" t="s">
        <v>90</v>
      </c>
      <c r="E32" s="79" t="s">
        <v>91</v>
      </c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customFormat="false" ht="15.75" hidden="false" customHeight="true" outlineLevel="0" collapsed="false">
      <c r="A33" s="80" t="str">
        <f aca="true">IF($B$2="Instance 5 (Large)",IFERROR(INDIRECT("'"&amp;$B$2&amp;"'!A24"),""),IFERROR(INDIRECT("'"&amp;$B$2&amp;"'!A18"),""))</f>
        <v>Chicken Leg</v>
      </c>
      <c r="B33" s="80" t="n">
        <f aca="true">IF($B$2="Instance 5 (Large)",IFERROR(INDIRECT("'"&amp;$B$2&amp;"'!B24"),""),IFERROR(INDIRECT("'"&amp;$B$2&amp;"'!B18"),""))</f>
        <v>50</v>
      </c>
      <c r="C33" s="80" t="n">
        <f aca="true">IF($B$2="Instance 5 (Large)",IFERROR(INDIRECT("'"&amp;$B$2&amp;"'!C24"),""),IFERROR(INDIRECT("'"&amp;$B$2&amp;"'!C18"),""))</f>
        <v>60</v>
      </c>
      <c r="D33" s="80" t="n">
        <f aca="true">IF($B$2="Instance 5 (Large)",IFERROR(INDIRECT("'"&amp;$B$2&amp;"'!D24"),""),IFERROR(INDIRECT("'"&amp;$B$2&amp;"'!D18"),""))</f>
        <v>80</v>
      </c>
      <c r="E33" s="80" t="n">
        <f aca="true">IF($B$2="Instance 5 (Large)",IFERROR(INDIRECT("'"&amp;$B$2&amp;"'!E24"),""),IFERROR(INDIRECT("'"&amp;$B$2&amp;"'!E18"),""))</f>
        <v>90</v>
      </c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customFormat="false" ht="15.75" hidden="false" customHeight="true" outlineLevel="0" collapsed="false">
      <c r="A34" s="80" t="str">
        <f aca="true">IF($B$2="Instance 5 (Large)",IFERROR(INDIRECT("'"&amp;$B$2&amp;"'!A25"),""),IFERROR(INDIRECT("'"&amp;$B$2&amp;"'!A19"),""))</f>
        <v>Tomato</v>
      </c>
      <c r="B34" s="80" t="n">
        <f aca="true">IF($B$2="Instance 5 (Large)",IFERROR(INDIRECT("'"&amp;$B$2&amp;"'!B25"),""),IFERROR(INDIRECT("'"&amp;$B$2&amp;"'!B19"),""))</f>
        <v>80</v>
      </c>
      <c r="C34" s="80" t="n">
        <f aca="true">IF($B$2="Instance 5 (Large)",IFERROR(INDIRECT("'"&amp;$B$2&amp;"'!C25"),""),IFERROR(INDIRECT("'"&amp;$B$2&amp;"'!C19"),""))</f>
        <v>90</v>
      </c>
      <c r="D34" s="80" t="n">
        <f aca="true">IF($B$2="Instance 5 (Large)",IFERROR(INDIRECT("'"&amp;$B$2&amp;"'!D25"),""),IFERROR(INDIRECT("'"&amp;$B$2&amp;"'!D19"),""))</f>
        <v>70</v>
      </c>
      <c r="E34" s="80" t="n">
        <f aca="true">IF($B$2="Instance 5 (Large)",IFERROR(INDIRECT("'"&amp;$B$2&amp;"'!E25"),""),IFERROR(INDIRECT("'"&amp;$B$2&amp;"'!E19"),""))</f>
        <v>100</v>
      </c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customFormat="false" ht="15.75" hidden="false" customHeight="true" outlineLevel="0" collapsed="false">
      <c r="A35" s="80" t="str">
        <f aca="true">IF($B$2="Instance 5 (Large)",IFERROR(INDIRECT("'"&amp;$B$2&amp;"'!A26"),""),IFERROR(INDIRECT("'"&amp;$B$2&amp;"'!A20"),""))</f>
        <v>Egg</v>
      </c>
      <c r="B35" s="80" t="n">
        <f aca="true">IF($B$2="Instance 5 (Large)",IFERROR(INDIRECT("'"&amp;$B$2&amp;"'!B26"),""),IFERROR(INDIRECT("'"&amp;$B$2&amp;"'!B20"),""))</f>
        <v>80</v>
      </c>
      <c r="C35" s="80" t="n">
        <f aca="true">IF($B$2="Instance 5 (Large)",IFERROR(INDIRECT("'"&amp;$B$2&amp;"'!C26"),""),IFERROR(INDIRECT("'"&amp;$B$2&amp;"'!C20"),""))</f>
        <v>90</v>
      </c>
      <c r="D35" s="80" t="n">
        <f aca="true">IF($B$2="Instance 5 (Large)",IFERROR(INDIRECT("'"&amp;$B$2&amp;"'!D26"),""),IFERROR(INDIRECT("'"&amp;$B$2&amp;"'!D20"),""))</f>
        <v>70</v>
      </c>
      <c r="E35" s="80" t="n">
        <f aca="true">IF($B$2="Instance 5 (Large)",IFERROR(INDIRECT("'"&amp;$B$2&amp;"'!E26"),""),IFERROR(INDIRECT("'"&amp;$B$2&amp;"'!E20"),""))</f>
        <v>100</v>
      </c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customFormat="false" ht="15.75" hidden="false" customHeight="true" outlineLevel="0" collapsed="false">
      <c r="A36" s="80" t="str">
        <f aca="true">IF($B$2="Instance 5 (Large)",IFERROR(INDIRECT("'"&amp;$B$2&amp;"'!A27"),""),IFERROR(INDIRECT("'"&amp;$B$2&amp;"'!A21"),""))</f>
        <v>Spinach</v>
      </c>
      <c r="B36" s="80" t="n">
        <f aca="true">IF($B$2="Instance 5 (Large)",IFERROR(INDIRECT("'"&amp;$B$2&amp;"'!B27"),""),IFERROR(INDIRECT("'"&amp;$B$2&amp;"'!B21"),""))</f>
        <v>120</v>
      </c>
      <c r="C36" s="80" t="n">
        <f aca="true">IF($B$2="Instance 5 (Large)",IFERROR(INDIRECT("'"&amp;$B$2&amp;"'!C27"),""),IFERROR(INDIRECT("'"&amp;$B$2&amp;"'!C21"),""))</f>
        <v>160</v>
      </c>
      <c r="D36" s="80" t="n">
        <f aca="true">IF($B$2="Instance 5 (Large)",IFERROR(INDIRECT("'"&amp;$B$2&amp;"'!D27"),""),IFERROR(INDIRECT("'"&amp;$B$2&amp;"'!D21"),""))</f>
        <v>180</v>
      </c>
      <c r="E36" s="80" t="n">
        <f aca="true">IF($B$2="Instance 5 (Large)",IFERROR(INDIRECT("'"&amp;$B$2&amp;"'!E27"),""),IFERROR(INDIRECT("'"&amp;$B$2&amp;"'!E21"),""))</f>
        <v>140</v>
      </c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customFormat="false" ht="15.75" hidden="false" customHeight="true" outlineLevel="0" collapsed="false">
      <c r="A37" s="80" t="str">
        <f aca="true">IF($B$2="Instance 5 (Large)",IFERROR(INDIRECT("'"&amp;$B$2&amp;"'!A28"),""),"")</f>
        <v/>
      </c>
      <c r="B37" s="80" t="str">
        <f aca="true">IF($B$2="Instance 5 (Large)",IFERROR(INDIRECT("'"&amp;$B$2&amp;"'!B28"),""),"")</f>
        <v/>
      </c>
      <c r="C37" s="80" t="str">
        <f aca="true">IF($B$2="Instance 5 (Large)",IFERROR(INDIRECT("'"&amp;$B$2&amp;"'!C28"),""),"")</f>
        <v/>
      </c>
      <c r="D37" s="80" t="str">
        <f aca="true">IF($B$2="Instance 5 (Large)",IFERROR(INDIRECT("'"&amp;$B$2&amp;"'!D28"),""),"")</f>
        <v/>
      </c>
      <c r="E37" s="80" t="str">
        <f aca="true">IF($B$2="Instance 5 (Large)",IFERROR(INDIRECT("'"&amp;$B$2&amp;"'!E28"),""),"")</f>
        <v/>
      </c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customFormat="false" ht="15.75" hidden="false" customHeight="true" outlineLevel="0" collapsed="false">
      <c r="A38" s="80" t="str">
        <f aca="true">IF($B$2="Instance 5 (Large)",IFERROR(INDIRECT("'"&amp;$B$2&amp;"'!A29"),""),"")</f>
        <v/>
      </c>
      <c r="B38" s="80" t="str">
        <f aca="true">IF($B$2="Instance 5 (Large)",IFERROR(INDIRECT("'"&amp;$B$2&amp;"'!B29"),""),"")</f>
        <v/>
      </c>
      <c r="C38" s="80" t="str">
        <f aca="true">IF($B$2="Instance 5 (Large)",IFERROR(INDIRECT("'"&amp;$B$2&amp;"'!C29"),""),"")</f>
        <v/>
      </c>
      <c r="D38" s="80" t="str">
        <f aca="true">IF($B$2="Instance 5 (Large)",IFERROR(INDIRECT("'"&amp;$B$2&amp;"'!D29"),""),"")</f>
        <v/>
      </c>
      <c r="E38" s="80" t="str">
        <f aca="true">IF($B$2="Instance 5 (Large)",IFERROR(INDIRECT("'"&amp;$B$2&amp;"'!E29"),""),"")</f>
        <v/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customFormat="false" ht="15.75" hidden="false" customHeight="true" outlineLevel="0" collapsed="false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customFormat="false" ht="19.5" hidden="false" customHeight="true" outlineLevel="0" collapsed="false">
      <c r="A40" s="77" t="s">
        <v>213</v>
      </c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customFormat="false" ht="15.75" hidden="false" customHeight="true" outlineLevel="0" collapsed="false">
      <c r="A41" s="79" t="s">
        <v>22</v>
      </c>
      <c r="B41" s="79" t="s">
        <v>214</v>
      </c>
      <c r="C41" s="79" t="s">
        <v>215</v>
      </c>
      <c r="D41" s="79" t="s">
        <v>206</v>
      </c>
      <c r="E41" s="79" t="s">
        <v>207</v>
      </c>
      <c r="F41" s="79" t="s">
        <v>216</v>
      </c>
      <c r="G41" s="79" t="s">
        <v>217</v>
      </c>
      <c r="H41" s="79" t="s">
        <v>210</v>
      </c>
      <c r="I41" s="79" t="s">
        <v>208</v>
      </c>
      <c r="J41" s="79" t="s">
        <v>209</v>
      </c>
      <c r="K41" s="79" t="s">
        <v>218</v>
      </c>
      <c r="L41" s="79" t="s">
        <v>219</v>
      </c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customFormat="false" ht="15.75" hidden="false" customHeight="true" outlineLevel="0" collapsed="false">
      <c r="A42" s="80" t="str">
        <f aca="false">A33</f>
        <v>Chicken Leg</v>
      </c>
      <c r="B42" s="80" t="n">
        <f aca="false">IF($A42="","",SUM(B33:E33))</f>
        <v>280</v>
      </c>
      <c r="C42" s="80" t="n">
        <f aca="false">IF($A42="","",MAX(B33:E33))</f>
        <v>90</v>
      </c>
      <c r="D42" s="80" t="n">
        <f aca="false">IF($A42="","",D24)</f>
        <v>120</v>
      </c>
      <c r="E42" s="80" t="n">
        <f aca="false">IF($A42="","",E24)</f>
        <v>2</v>
      </c>
      <c r="F42" s="80" t="n">
        <f aca="false">IF($A42="","",MAX(SUM(B33:INDEX(B33:E33,1,MIN(E42,4))),SUM(C33:INDEX(B33:E33,1,MIN(E42+1,4))),SUM(D33:INDEX(B33:E33,1,MIN(E42+2,4))),E33))</f>
        <v>170</v>
      </c>
      <c r="G42" s="80" t="str">
        <f aca="false">IF($A42="","",IF(D42&lt;=F42,"Yes","No"))</f>
        <v>Yes</v>
      </c>
      <c r="H42" s="81" t="n">
        <f aca="false">IF($A42="","",H24)</f>
        <v>0.1</v>
      </c>
      <c r="I42" s="80" t="n">
        <f aca="false">IF($A42="","",F24)</f>
        <v>0.3</v>
      </c>
      <c r="J42" s="80" t="n">
        <f aca="false">IF($A42="","",G24)</f>
        <v>1</v>
      </c>
      <c r="K42" s="82" t="n">
        <f aca="false">IF($A42="","",IF(I42=0,"N/A",(B24-C24)/I42))</f>
        <v>1.66666666666667</v>
      </c>
      <c r="L42" s="80" t="str">
        <f aca="false">IF($A42="","",IF(E42=1,"N/A",IF(K42&lt;=E42,"Yes","No")))</f>
        <v>Yes</v>
      </c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customFormat="false" ht="15.75" hidden="false" customHeight="true" outlineLevel="0" collapsed="false">
      <c r="A43" s="80" t="str">
        <f aca="false">A34</f>
        <v>Tomato</v>
      </c>
      <c r="B43" s="80" t="n">
        <f aca="false">IF($A43="","",SUM(B34:E34))</f>
        <v>340</v>
      </c>
      <c r="C43" s="80" t="n">
        <f aca="false">IF($A43="","",MAX(B34:E34))</f>
        <v>100</v>
      </c>
      <c r="D43" s="80" t="n">
        <f aca="false">IF($A43="","",D25)</f>
        <v>85</v>
      </c>
      <c r="E43" s="80" t="n">
        <f aca="false">IF($A43="","",E25)</f>
        <v>1</v>
      </c>
      <c r="F43" s="80" t="n">
        <f aca="false">IF($A43="","",MAX(SUM(B34:INDEX(B34:E34,1,MIN(E43,4))),SUM(C34:INDEX(B34:E34,1,MIN(E43+1,4))),SUM(D34:INDEX(B34:E34,1,MIN(E43+2,4))),E34))</f>
        <v>100</v>
      </c>
      <c r="G43" s="80" t="str">
        <f aca="false">IF($A43="","",IF(D43&lt;=F43,"Yes","No"))</f>
        <v>Yes</v>
      </c>
      <c r="H43" s="81" t="n">
        <f aca="false">IF($A43="","",H25)</f>
        <v>0.15</v>
      </c>
      <c r="I43" s="80" t="n">
        <f aca="false">IF($A43="","",F25)</f>
        <v>0.05</v>
      </c>
      <c r="J43" s="80" t="n">
        <f aca="false">IF($A43="","",G25)</f>
        <v>0.3</v>
      </c>
      <c r="K43" s="82" t="n">
        <f aca="false">IF($A43="","",IF(I43=0,"N/A",(B25-C25)/I43))</f>
        <v>3</v>
      </c>
      <c r="L43" s="80" t="str">
        <f aca="false">IF($A43="","",IF(E43=1,"N/A",IF(K43&lt;=E43,"Yes","No")))</f>
        <v>N/A</v>
      </c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customFormat="false" ht="15.75" hidden="false" customHeight="true" outlineLevel="0" collapsed="false">
      <c r="A44" s="80" t="str">
        <f aca="false">A35</f>
        <v>Egg</v>
      </c>
      <c r="B44" s="80" t="n">
        <f aca="false">IF($A44="","",SUM(B35:E35))</f>
        <v>340</v>
      </c>
      <c r="C44" s="80" t="n">
        <f aca="false">IF($A44="","",MAX(B35:E35))</f>
        <v>100</v>
      </c>
      <c r="D44" s="80" t="n">
        <f aca="false">IF($A44="","",D26)</f>
        <v>140</v>
      </c>
      <c r="E44" s="80" t="n">
        <f aca="false">IF($A44="","",E26)</f>
        <v>2</v>
      </c>
      <c r="F44" s="80" t="n">
        <f aca="false">IF($A44="","",MAX(SUM(B35:INDEX(B35:E35,1,MIN(E44,4))),SUM(C35:INDEX(B35:E35,1,MIN(E44+1,4))),SUM(D35:INDEX(B35:E35,1,MIN(E44+2,4))),E35))</f>
        <v>170</v>
      </c>
      <c r="G44" s="80" t="str">
        <f aca="false">IF($A44="","",IF(D44&lt;=F44,"Yes","No"))</f>
        <v>Yes</v>
      </c>
      <c r="H44" s="81" t="n">
        <f aca="false">IF($A44="","",H26)</f>
        <v>0.12</v>
      </c>
      <c r="I44" s="80" t="n">
        <f aca="false">IF($A44="","",F26)</f>
        <v>0.04</v>
      </c>
      <c r="J44" s="80" t="n">
        <f aca="false">IF($A44="","",G26)</f>
        <v>0.1</v>
      </c>
      <c r="K44" s="82" t="n">
        <f aca="false">IF($A44="","",IF(I44=0,"N/A",(B26-C26)/I44))</f>
        <v>1.5</v>
      </c>
      <c r="L44" s="80" t="str">
        <f aca="false">IF($A44="","",IF(E44=1,"N/A",IF(K44&lt;=E44,"Yes","No")))</f>
        <v>Yes</v>
      </c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customFormat="false" ht="15.75" hidden="false" customHeight="true" outlineLevel="0" collapsed="false">
      <c r="A45" s="80" t="str">
        <f aca="false">A36</f>
        <v>Spinach</v>
      </c>
      <c r="B45" s="80" t="n">
        <f aca="false">IF($A45="","",SUM(B36:E36))</f>
        <v>600</v>
      </c>
      <c r="C45" s="80" t="n">
        <f aca="false">IF($A45="","",MAX(B36:E36))</f>
        <v>180</v>
      </c>
      <c r="D45" s="80" t="n">
        <f aca="false">IF($A45="","",D27)</f>
        <v>160</v>
      </c>
      <c r="E45" s="80" t="n">
        <f aca="false">IF($A45="","",E27)</f>
        <v>1</v>
      </c>
      <c r="F45" s="80" t="n">
        <f aca="false">IF($A45="","",MAX(SUM(B36:INDEX(B36:E36,1,MIN(E45,4))),SUM(C36:INDEX(B36:E36,1,MIN(E45+1,4))),SUM(D36:INDEX(B36:E36,1,MIN(E45+2,4))),E36))</f>
        <v>180</v>
      </c>
      <c r="G45" s="80" t="str">
        <f aca="false">IF($A45="","",IF(D45&lt;=F45,"Yes","No"))</f>
        <v>Yes</v>
      </c>
      <c r="H45" s="81" t="n">
        <f aca="false">IF($A45="","",H27)</f>
        <v>0.0750000000000001</v>
      </c>
      <c r="I45" s="80" t="n">
        <f aca="false">IF($A45="","",F27)</f>
        <v>0.03</v>
      </c>
      <c r="J45" s="80" t="n">
        <f aca="false">IF($A45="","",G27)</f>
        <v>0.2</v>
      </c>
      <c r="K45" s="82" t="n">
        <f aca="false">IF($A45="","",IF(I45=0,"N/A",(B27-C27)/I45))</f>
        <v>2</v>
      </c>
      <c r="L45" s="80" t="str">
        <f aca="false">IF($A45="","",IF(E45=1,"N/A",IF(K45&lt;=E45,"Yes","No")))</f>
        <v>N/A</v>
      </c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customFormat="false" ht="15.75" hidden="false" customHeight="true" outlineLevel="0" collapsed="false">
      <c r="A46" s="80" t="str">
        <f aca="false">A37</f>
        <v/>
      </c>
      <c r="B46" s="80" t="str">
        <f aca="false">IF($A46="","",SUM(B37:E37))</f>
        <v/>
      </c>
      <c r="C46" s="80" t="str">
        <f aca="false">IF($A46="","",MAX(B37:E37))</f>
        <v/>
      </c>
      <c r="D46" s="80" t="str">
        <f aca="false">IF($A46="","",D28)</f>
        <v/>
      </c>
      <c r="E46" s="80" t="str">
        <f aca="false">IF($A46="","",E28)</f>
        <v/>
      </c>
      <c r="F46" s="80" t="str">
        <f aca="false">IF($A46="","",MAX(SUM(B37:INDEX(B37:E37,1,MIN(E46,4))),SUM(C37:INDEX(B37:E37,1,MIN(E46+1,4))),SUM(D37:INDEX(B37:E37,1,MIN(E46+2,4))),E37))</f>
        <v/>
      </c>
      <c r="G46" s="80" t="str">
        <f aca="false">IF($A46="","",IF(D46&lt;=F46,"Yes","No"))</f>
        <v/>
      </c>
      <c r="H46" s="81" t="str">
        <f aca="false">IF($A46="","",H28)</f>
        <v/>
      </c>
      <c r="I46" s="80" t="str">
        <f aca="false">IF($A46="","",F28)</f>
        <v/>
      </c>
      <c r="J46" s="80" t="str">
        <f aca="false">IF($A46="","",G28)</f>
        <v/>
      </c>
      <c r="K46" s="82" t="str">
        <f aca="false">IF($A46="","",IF(I46=0,"N/A",(B28-C28)/I46))</f>
        <v/>
      </c>
      <c r="L46" s="80" t="str">
        <f aca="false">IF($A46="","",IF(E46=1,"N/A",IF(K46&lt;=E46,"Yes","No")))</f>
        <v/>
      </c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customFormat="false" ht="15.75" hidden="false" customHeight="true" outlineLevel="0" collapsed="false">
      <c r="A47" s="80" t="str">
        <f aca="false">A38</f>
        <v/>
      </c>
      <c r="B47" s="80" t="str">
        <f aca="false">IF($A47="","",SUM(B38:E38))</f>
        <v/>
      </c>
      <c r="C47" s="80" t="str">
        <f aca="false">IF($A47="","",MAX(B38:E38))</f>
        <v/>
      </c>
      <c r="D47" s="80" t="str">
        <f aca="false">IF($A47="","",D29)</f>
        <v/>
      </c>
      <c r="E47" s="80" t="str">
        <f aca="false">IF($A47="","",E29)</f>
        <v/>
      </c>
      <c r="F47" s="80" t="str">
        <f aca="false">IF($A47="","",MAX(SUM(B38:INDEX(B38:E38,1,MIN(E47,4))),SUM(C38:INDEX(B38:E38,1,MIN(E47+1,4))),SUM(D38:INDEX(B38:E38,1,MIN(E47+2,4))),E38))</f>
        <v/>
      </c>
      <c r="G47" s="80" t="str">
        <f aca="false">IF($A47="","",IF(D47&lt;=F47,"Yes","No"))</f>
        <v/>
      </c>
      <c r="H47" s="81" t="str">
        <f aca="false">IF($A47="","",H29)</f>
        <v/>
      </c>
      <c r="I47" s="80" t="str">
        <f aca="false">IF($A47="","",F29)</f>
        <v/>
      </c>
      <c r="J47" s="80" t="str">
        <f aca="false">IF($A47="","",G29)</f>
        <v/>
      </c>
      <c r="K47" s="82" t="str">
        <f aca="false">IF($A47="","",IF(I47=0,"N/A",(B29-C29)/I47))</f>
        <v/>
      </c>
      <c r="L47" s="80" t="str">
        <f aca="false">IF($A47="","",IF(E47=1,"N/A",IF(K47&lt;=E47,"Yes","No")))</f>
        <v/>
      </c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customFormat="false" ht="15.75" hidden="false" customHeight="true" outlineLevel="0" collapsed="false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customFormat="false" ht="15.75" hidden="false" customHeight="true" outlineLevel="0" collapsed="false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customFormat="false" ht="15.75" hidden="false" customHeight="true" outlineLevel="0" collapsed="false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customFormat="false" ht="15.75" hidden="false" customHeight="true" outlineLevel="0" collapsed="false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customFormat="false" ht="15.75" hidden="false" customHeight="true" outlineLevel="0" collapsed="false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customFormat="false" ht="15.75" hidden="false" customHeight="true" outlineLevel="0" collapsed="false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customFormat="false" ht="15.75" hidden="false" customHeight="true" outlineLevel="0" collapsed="false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customFormat="false" ht="15.75" hidden="false" customHeight="true" outlineLevel="0" collapsed="false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customFormat="false" ht="15.75" hidden="false" customHeight="true" outlineLevel="0" collapsed="false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customFormat="false" ht="15.75" hidden="false" customHeight="true" outlineLevel="0" collapsed="false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customFormat="false" ht="15.75" hidden="false" customHeight="true" outlineLevel="0" collapsed="false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customFormat="false" ht="15.75" hidden="false" customHeight="true" outlineLevel="0" collapsed="false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customFormat="false" ht="15.75" hidden="false" customHeight="true" outlineLevel="0" collapsed="false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dataValidations count="1">
    <dataValidation allowBlank="false" errorStyle="stop" operator="between" showDropDown="false" showErrorMessage="false" showInputMessage="false" sqref="B2" type="list">
      <formula1>"Instance 1 (Base),Instance 2 (No Discount),Instance 3 (Carryover),Instance 4 (Sensitivity),Instance 5 (Large)"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2026-05-18T02:51:29Z</dcterms:created>
  <dc:creator>openpyxl</dc:creator>
  <dc:description/>
  <dc:language>en-US</dc:language>
  <cp:lastModifiedBy>staniya thomas</cp:lastModifiedBy>
  <dcterms:modified xsi:type="dcterms:W3CDTF">2026-05-18T08:32:41Z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